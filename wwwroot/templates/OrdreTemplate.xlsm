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ministrator\Desktop\frais de mission\"/>
    </mc:Choice>
  </mc:AlternateContent>
  <bookViews>
    <workbookView xWindow="-120" yWindow="-120" windowWidth="15480" windowHeight="11640" firstSheet="1" activeTab="1"/>
  </bookViews>
  <sheets>
    <sheet name="00000" sheetId="4" state="veryHidden" r:id="rId1"/>
    <sheet name="MASQUE DE SAISIE" sheetId="5" r:id="rId2"/>
    <sheet name="COMPTE RENDU A TIRER" sheetId="8" r:id="rId3"/>
    <sheet name="NOTE DE FRAIS A TIRER" sheetId="3" r:id="rId4"/>
    <sheet name="DECLARATION SUR L'HONEUR " sheetId="10" r:id="rId5"/>
    <sheet name="RAPPORT DE MISSION " sheetId="11" r:id="rId6"/>
  </sheets>
  <functionGroups builtInGroupCount="18"/>
  <definedNames>
    <definedName name="_xlnm.Print_Area" localSheetId="2">'COMPTE RENDU A TIRER'!$A$1:$J$60</definedName>
    <definedName name="_xlnm.Print_Area" localSheetId="1">'MASQUE DE SAISIE'!$A$1:$N$85</definedName>
    <definedName name="_xlnm.Print_Area" localSheetId="3">'NOTE DE FRAIS A TIRER'!$A$1:$N$71</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7" i="11" l="1"/>
  <c r="G16" i="11"/>
  <c r="E17" i="11"/>
  <c r="E16" i="11"/>
  <c r="G15" i="11"/>
  <c r="F14" i="11"/>
  <c r="D17" i="11"/>
  <c r="D16" i="11"/>
  <c r="F12" i="11"/>
  <c r="B12" i="11"/>
  <c r="B15" i="11"/>
  <c r="H10" i="8"/>
  <c r="B14" i="11"/>
  <c r="F39" i="10"/>
  <c r="F34" i="10"/>
  <c r="D34" i="10"/>
  <c r="B34" i="10"/>
  <c r="F32" i="10"/>
  <c r="D32" i="10"/>
  <c r="B32" i="10"/>
  <c r="D29" i="10"/>
  <c r="E26" i="10"/>
  <c r="B26" i="10"/>
  <c r="A26" i="10"/>
  <c r="E25" i="10"/>
  <c r="B25" i="10"/>
  <c r="A25" i="10"/>
  <c r="E24" i="10"/>
  <c r="B24" i="10"/>
  <c r="A24" i="10"/>
  <c r="E23" i="10"/>
  <c r="B23" i="10"/>
  <c r="A23" i="10"/>
  <c r="C18" i="10"/>
  <c r="B16" i="10"/>
  <c r="B12" i="10"/>
  <c r="B10" i="10"/>
  <c r="B8" i="10"/>
  <c r="N16" i="3"/>
  <c r="B35" i="8"/>
  <c r="C35" i="8"/>
  <c r="D35" i="8"/>
  <c r="E35" i="8"/>
  <c r="F35" i="8"/>
  <c r="G35" i="8"/>
  <c r="H35" i="8"/>
  <c r="B36" i="8"/>
  <c r="C36" i="8"/>
  <c r="D36" i="8"/>
  <c r="E36" i="8"/>
  <c r="F36" i="8"/>
  <c r="G36" i="8"/>
  <c r="H36" i="8"/>
  <c r="B37" i="8"/>
  <c r="C37" i="8"/>
  <c r="D37" i="8"/>
  <c r="E37" i="8"/>
  <c r="F37" i="8"/>
  <c r="G37" i="8"/>
  <c r="H37" i="8"/>
  <c r="B38" i="8"/>
  <c r="C38" i="8"/>
  <c r="D38" i="8"/>
  <c r="E38" i="8"/>
  <c r="F38" i="8"/>
  <c r="G38" i="8"/>
  <c r="H38" i="8"/>
  <c r="B39" i="8"/>
  <c r="C39" i="8"/>
  <c r="D39" i="8"/>
  <c r="E39" i="8"/>
  <c r="F39" i="8"/>
  <c r="G39" i="8"/>
  <c r="H39" i="8"/>
  <c r="B40" i="8"/>
  <c r="C40" i="8"/>
  <c r="D40" i="8"/>
  <c r="E40" i="8"/>
  <c r="F40" i="8"/>
  <c r="G40" i="8"/>
  <c r="H40" i="8"/>
  <c r="B41" i="8"/>
  <c r="C41" i="8"/>
  <c r="D41" i="8"/>
  <c r="E41" i="8"/>
  <c r="F41" i="8"/>
  <c r="G41" i="8"/>
  <c r="H41" i="8"/>
  <c r="B42" i="8"/>
  <c r="C42" i="8"/>
  <c r="D42" i="8"/>
  <c r="E42" i="8"/>
  <c r="F42" i="8"/>
  <c r="G42" i="8"/>
  <c r="H42" i="8"/>
  <c r="B43" i="8"/>
  <c r="C43" i="8"/>
  <c r="D43" i="8"/>
  <c r="E43" i="8"/>
  <c r="F43" i="8"/>
  <c r="G43" i="8"/>
  <c r="H43" i="8"/>
  <c r="B44" i="8"/>
  <c r="C44" i="8"/>
  <c r="D44" i="8"/>
  <c r="E44" i="8"/>
  <c r="F44" i="8"/>
  <c r="G44" i="8"/>
  <c r="H44" i="8"/>
  <c r="J51" i="5"/>
  <c r="L46" i="3"/>
  <c r="D26" i="3"/>
  <c r="E26" i="3"/>
  <c r="F26" i="3"/>
  <c r="G26" i="3"/>
  <c r="I26" i="3"/>
  <c r="L26" i="3"/>
  <c r="M26" i="3"/>
  <c r="N26" i="3"/>
  <c r="D27" i="3"/>
  <c r="E27" i="3"/>
  <c r="F27" i="3"/>
  <c r="G27" i="3"/>
  <c r="I27" i="3"/>
  <c r="L27" i="3"/>
  <c r="M27" i="3"/>
  <c r="N27" i="3"/>
  <c r="D28" i="3"/>
  <c r="E28" i="3"/>
  <c r="F28" i="3"/>
  <c r="G28" i="3"/>
  <c r="I28" i="3"/>
  <c r="L28" i="3"/>
  <c r="M28" i="3"/>
  <c r="N28" i="3"/>
  <c r="D29" i="3"/>
  <c r="E29" i="3"/>
  <c r="F29" i="3"/>
  <c r="G29" i="3"/>
  <c r="I29" i="3"/>
  <c r="L29" i="3"/>
  <c r="M29" i="3"/>
  <c r="N29" i="3"/>
  <c r="D30" i="3"/>
  <c r="E30" i="3"/>
  <c r="F30" i="3"/>
  <c r="G30" i="3"/>
  <c r="I30" i="3"/>
  <c r="L30" i="3"/>
  <c r="M30" i="3"/>
  <c r="N30" i="3"/>
  <c r="D31" i="3"/>
  <c r="E31" i="3"/>
  <c r="F31" i="3"/>
  <c r="G31" i="3"/>
  <c r="I31" i="3"/>
  <c r="L31" i="3"/>
  <c r="M31" i="3"/>
  <c r="N31" i="3"/>
  <c r="H28" i="8"/>
  <c r="H75" i="5"/>
  <c r="G24" i="10" s="1"/>
  <c r="H76" i="5"/>
  <c r="G25" i="10" s="1"/>
  <c r="H77" i="5"/>
  <c r="G26" i="10" s="1"/>
  <c r="H74" i="5"/>
  <c r="G23" i="10" s="1"/>
  <c r="E16" i="3"/>
  <c r="E17" i="3"/>
  <c r="E18" i="3"/>
  <c r="E19" i="3"/>
  <c r="E20" i="3"/>
  <c r="E21" i="3"/>
  <c r="E22" i="3"/>
  <c r="E23" i="3"/>
  <c r="E24" i="3"/>
  <c r="E25" i="3"/>
  <c r="G16" i="3"/>
  <c r="G17" i="3"/>
  <c r="G18" i="3"/>
  <c r="G19" i="3"/>
  <c r="G20" i="3"/>
  <c r="G21" i="3"/>
  <c r="G22" i="3"/>
  <c r="G23" i="3"/>
  <c r="G24" i="3"/>
  <c r="G25" i="3"/>
  <c r="L16" i="3"/>
  <c r="L17" i="3"/>
  <c r="L18" i="3"/>
  <c r="L19" i="3"/>
  <c r="L20" i="3"/>
  <c r="L21" i="3"/>
  <c r="L22" i="3"/>
  <c r="L23" i="3"/>
  <c r="L24" i="3"/>
  <c r="L25" i="3"/>
  <c r="G15" i="3"/>
  <c r="E15" i="3"/>
  <c r="L15" i="3"/>
  <c r="G29" i="8"/>
  <c r="G30" i="8"/>
  <c r="G31" i="8"/>
  <c r="G32" i="8"/>
  <c r="G33" i="8"/>
  <c r="G34" i="8"/>
  <c r="F29" i="8"/>
  <c r="F30" i="8"/>
  <c r="F31" i="8"/>
  <c r="F32" i="8"/>
  <c r="F33" i="8"/>
  <c r="F34" i="8"/>
  <c r="E29" i="8"/>
  <c r="E30" i="8"/>
  <c r="E31" i="8"/>
  <c r="E32" i="8"/>
  <c r="E33" i="8"/>
  <c r="E34" i="8"/>
  <c r="D29" i="8"/>
  <c r="D30" i="8"/>
  <c r="D31" i="8"/>
  <c r="D32" i="8"/>
  <c r="D33" i="8"/>
  <c r="D34" i="8"/>
  <c r="B29" i="8"/>
  <c r="B30" i="8"/>
  <c r="B31" i="8"/>
  <c r="B32" i="8"/>
  <c r="B33" i="8"/>
  <c r="B34" i="8"/>
  <c r="C29" i="8"/>
  <c r="C30" i="8"/>
  <c r="C31" i="8"/>
  <c r="C32" i="8"/>
  <c r="C33" i="8"/>
  <c r="C34" i="8"/>
  <c r="C28" i="8"/>
  <c r="B28" i="8"/>
  <c r="G28" i="8"/>
  <c r="F28" i="8"/>
  <c r="E28" i="8"/>
  <c r="D28" i="8"/>
  <c r="N32" i="3"/>
  <c r="H8" i="8"/>
  <c r="H29" i="8"/>
  <c r="H30" i="8"/>
  <c r="H31" i="8"/>
  <c r="H32" i="8"/>
  <c r="H33" i="8"/>
  <c r="H34" i="8"/>
  <c r="E78" i="5"/>
  <c r="C14" i="8"/>
  <c r="C15" i="8"/>
  <c r="H12" i="8"/>
  <c r="F49" i="8"/>
  <c r="D49" i="8"/>
  <c r="B49" i="8"/>
  <c r="F21" i="8"/>
  <c r="D21" i="8"/>
  <c r="B21" i="8"/>
  <c r="F54" i="8"/>
  <c r="C54" i="8"/>
  <c r="F51" i="8"/>
  <c r="D51" i="8"/>
  <c r="B51" i="8"/>
  <c r="B19" i="8"/>
  <c r="F19" i="8"/>
  <c r="D19" i="8"/>
  <c r="J8" i="8"/>
  <c r="C12" i="8"/>
  <c r="C10" i="8"/>
  <c r="I9" i="3"/>
  <c r="M70" i="3"/>
  <c r="F9" i="3"/>
  <c r="F25" i="3"/>
  <c r="F24" i="3"/>
  <c r="F23" i="3"/>
  <c r="F22" i="3"/>
  <c r="F21" i="3"/>
  <c r="F20" i="3"/>
  <c r="F19" i="3"/>
  <c r="F18" i="3"/>
  <c r="F17" i="3"/>
  <c r="F16" i="3"/>
  <c r="F15" i="3"/>
  <c r="E55" i="5"/>
  <c r="K11" i="3"/>
  <c r="K10" i="3"/>
  <c r="H11" i="3"/>
  <c r="H10" i="3"/>
  <c r="C2" i="3"/>
  <c r="N10" i="3"/>
  <c r="M10" i="3"/>
  <c r="C9" i="3"/>
  <c r="D8" i="3"/>
  <c r="D7" i="3"/>
  <c r="M8" i="3"/>
  <c r="M9" i="3"/>
  <c r="L9" i="3"/>
  <c r="N8" i="3"/>
  <c r="A7" i="3"/>
  <c r="G7" i="3"/>
  <c r="I7" i="3"/>
  <c r="A8" i="3"/>
  <c r="G8" i="3"/>
  <c r="I8" i="3"/>
  <c r="A9" i="3"/>
  <c r="E9" i="3"/>
  <c r="G9" i="3"/>
  <c r="A10" i="3"/>
  <c r="F10" i="3"/>
  <c r="A11" i="3"/>
  <c r="F11" i="3"/>
  <c r="D19" i="5"/>
  <c r="C15" i="3" s="1"/>
  <c r="A28" i="8" s="1"/>
  <c r="A19" i="5" s="1"/>
  <c r="D15" i="3"/>
  <c r="I15" i="3"/>
  <c r="M15" i="3"/>
  <c r="N15" i="3"/>
  <c r="D16" i="3"/>
  <c r="I16" i="3"/>
  <c r="M16" i="3"/>
  <c r="D17" i="3"/>
  <c r="I17" i="3"/>
  <c r="M17" i="3"/>
  <c r="N17" i="3"/>
  <c r="D18" i="3"/>
  <c r="I18" i="3"/>
  <c r="M18" i="3"/>
  <c r="N18" i="3"/>
  <c r="D19" i="3"/>
  <c r="I19" i="3"/>
  <c r="M19" i="3"/>
  <c r="N19" i="3"/>
  <c r="D20" i="3"/>
  <c r="I20" i="3"/>
  <c r="M20" i="3"/>
  <c r="N20" i="3"/>
  <c r="D21" i="3"/>
  <c r="I21" i="3"/>
  <c r="M21" i="3"/>
  <c r="N21" i="3"/>
  <c r="D22" i="3"/>
  <c r="I22" i="3"/>
  <c r="M22" i="3"/>
  <c r="N22" i="3"/>
  <c r="D23" i="3"/>
  <c r="I23" i="3"/>
  <c r="M23" i="3"/>
  <c r="N23" i="3"/>
  <c r="D24" i="3"/>
  <c r="I24" i="3"/>
  <c r="M24" i="3"/>
  <c r="N24" i="3"/>
  <c r="D25" i="3"/>
  <c r="I25" i="3"/>
  <c r="M25" i="3"/>
  <c r="N25" i="3"/>
  <c r="E44" i="3"/>
  <c r="L44" i="3"/>
  <c r="E46" i="3"/>
  <c r="E69" i="5"/>
  <c r="F47" i="3" l="1"/>
  <c r="E27" i="10"/>
  <c r="N43" i="3"/>
  <c r="G27" i="10"/>
  <c r="N47" i="3"/>
  <c r="F51" i="3"/>
  <c r="I48" i="3"/>
  <c r="D48" i="3"/>
  <c r="G45" i="3"/>
  <c r="N45" i="3"/>
  <c r="N46" i="3"/>
  <c r="I46" i="3"/>
  <c r="M46" i="3" s="1"/>
  <c r="D20" i="5"/>
  <c r="C16" i="3" s="1"/>
  <c r="A29" i="8" s="1"/>
  <c r="A20" i="5" s="1"/>
  <c r="L32" i="3"/>
  <c r="I45" i="3" s="1"/>
  <c r="M45" i="3" s="1"/>
  <c r="H78" i="5"/>
  <c r="N48" i="3" s="1"/>
  <c r="N44" i="3"/>
  <c r="G47" i="3"/>
  <c r="M51" i="3"/>
  <c r="M47" i="3"/>
  <c r="D46" i="3"/>
  <c r="F46" i="3" s="1"/>
  <c r="C19" i="5"/>
  <c r="B15" i="3" s="1"/>
  <c r="G46" i="3"/>
  <c r="G43" i="3"/>
  <c r="G44" i="3"/>
  <c r="E32" i="3"/>
  <c r="I43" i="3" s="1"/>
  <c r="G32" i="3"/>
  <c r="I44" i="3" s="1"/>
  <c r="M44" i="3" s="1"/>
  <c r="D45" i="3" l="1"/>
  <c r="F45" i="3" s="1"/>
  <c r="D43" i="3"/>
  <c r="F43" i="3" s="1"/>
  <c r="F48" i="3"/>
  <c r="N49" i="3"/>
  <c r="G48" i="3"/>
  <c r="G49" i="3" s="1"/>
  <c r="M43" i="3"/>
  <c r="M49" i="3" s="1"/>
  <c r="D21" i="5"/>
  <c r="C17" i="3" s="1"/>
  <c r="A30" i="8" s="1"/>
  <c r="A21" i="5" s="1"/>
  <c r="C20" i="5"/>
  <c r="B16" i="3" s="1"/>
  <c r="M48" i="3"/>
  <c r="D44" i="3"/>
  <c r="F44" i="3" s="1"/>
  <c r="M50" i="3" l="1"/>
  <c r="M52" i="3" s="1"/>
  <c r="C21" i="5"/>
  <c r="B17" i="3" s="1"/>
  <c r="D22" i="5"/>
  <c r="C18" i="3" s="1"/>
  <c r="A31" i="8" s="1"/>
  <c r="A22" i="5" s="1"/>
  <c r="F49" i="3"/>
  <c r="F50" i="3" s="1"/>
  <c r="F52" i="3" s="1"/>
  <c r="A55" i="3"/>
  <c r="D23" i="5" l="1"/>
  <c r="D24" i="5" s="1"/>
  <c r="C22" i="5"/>
  <c r="B18" i="3" s="1"/>
  <c r="C19" i="3" l="1"/>
  <c r="A32" i="8" s="1"/>
  <c r="A23" i="5" s="1"/>
  <c r="C23" i="5"/>
  <c r="B19" i="3" s="1"/>
  <c r="C24" i="5"/>
  <c r="B20" i="3" s="1"/>
  <c r="C20" i="3"/>
  <c r="A33" i="8" s="1"/>
  <c r="A24" i="5" s="1"/>
  <c r="D25" i="5"/>
  <c r="C25" i="5" l="1"/>
  <c r="B21" i="3" s="1"/>
  <c r="C21" i="3"/>
  <c r="A34" i="8" s="1"/>
  <c r="A25" i="5" s="1"/>
  <c r="D26" i="5"/>
  <c r="C26" i="5" l="1"/>
  <c r="B22" i="3" s="1"/>
  <c r="C22" i="3"/>
  <c r="A35" i="8" s="1"/>
  <c r="A26" i="5" s="1"/>
  <c r="D27" i="5"/>
  <c r="C27" i="5" l="1"/>
  <c r="B23" i="3" s="1"/>
  <c r="C23" i="3"/>
  <c r="A36" i="8" s="1"/>
  <c r="A27" i="5" s="1"/>
  <c r="D28" i="5"/>
  <c r="C24" i="3" l="1"/>
  <c r="A37" i="8" s="1"/>
  <c r="A28" i="5" s="1"/>
  <c r="D29" i="5"/>
  <c r="C28" i="5"/>
  <c r="B24" i="3" s="1"/>
  <c r="D30" i="5" l="1"/>
  <c r="C26" i="3" s="1"/>
  <c r="A39" i="8" s="1"/>
  <c r="A30" i="5" s="1"/>
  <c r="C25" i="3"/>
  <c r="A38" i="8" s="1"/>
  <c r="A29" i="5" s="1"/>
  <c r="C29" i="5"/>
  <c r="B25" i="3" s="1"/>
  <c r="D31" i="5" l="1"/>
  <c r="C30" i="5"/>
  <c r="B26" i="3" s="1"/>
  <c r="D32" i="5" l="1"/>
  <c r="C27" i="3"/>
  <c r="A40" i="8" s="1"/>
  <c r="A31" i="5" s="1"/>
  <c r="C31" i="5"/>
  <c r="B27" i="3" s="1"/>
  <c r="C28" i="3" l="1"/>
  <c r="A41" i="8" s="1"/>
  <c r="A32" i="5" s="1"/>
  <c r="D33" i="5"/>
  <c r="C32" i="5"/>
  <c r="B28" i="3" s="1"/>
  <c r="D34" i="5" l="1"/>
  <c r="C33" i="5"/>
  <c r="B29" i="3" s="1"/>
  <c r="C29" i="3"/>
  <c r="A42" i="8" s="1"/>
  <c r="A33" i="5" s="1"/>
  <c r="C34" i="5" l="1"/>
  <c r="B30" i="3" s="1"/>
  <c r="C30" i="3"/>
  <c r="A43" i="8" s="1"/>
  <c r="A34" i="5" s="1"/>
  <c r="D35" i="5"/>
  <c r="C31" i="3" l="1"/>
  <c r="A44" i="8" s="1"/>
  <c r="A35" i="5" s="1"/>
  <c r="C35" i="5"/>
  <c r="B31" i="3" s="1"/>
</calcChain>
</file>

<file path=xl/sharedStrings.xml><?xml version="1.0" encoding="utf-8"?>
<sst xmlns="http://schemas.openxmlformats.org/spreadsheetml/2006/main" count="330" uniqueCount="197">
  <si>
    <t>MIDI</t>
  </si>
  <si>
    <t>SOIR</t>
  </si>
  <si>
    <t>PRIS EN</t>
  </si>
  <si>
    <t>NUITEE</t>
  </si>
  <si>
    <t>ZONE</t>
  </si>
  <si>
    <t>DATE ET HEURE REELLE DE DEPART :</t>
  </si>
  <si>
    <t>DATE ET HEURE REELLE DE RETOUR :</t>
  </si>
  <si>
    <t>TRANSPORT</t>
  </si>
  <si>
    <t>SEJOUR</t>
  </si>
  <si>
    <t>TOTAUX PARTIELS</t>
  </si>
  <si>
    <t>TOTAL GENERAL</t>
  </si>
  <si>
    <t>BENEFICIAIRE</t>
  </si>
  <si>
    <t>LIBELLE</t>
  </si>
  <si>
    <t>NBRE</t>
  </si>
  <si>
    <t>P.U</t>
  </si>
  <si>
    <t>A:</t>
  </si>
  <si>
    <t>DATE  (2)</t>
  </si>
  <si>
    <t>LIEU (3)</t>
  </si>
  <si>
    <t>CHARGE (4)</t>
  </si>
  <si>
    <t>PRISE EN</t>
  </si>
  <si>
    <t>IZCV (5)</t>
  </si>
  <si>
    <t>4 - Mettre OUI ou NON selon le cas.</t>
  </si>
  <si>
    <t>MONTANT A PAYER</t>
  </si>
  <si>
    <t>RETENUE AVANCE</t>
  </si>
  <si>
    <r>
      <t>*</t>
    </r>
    <r>
      <rPr>
        <b/>
        <sz val="9"/>
        <rFont val="Arial"/>
        <family val="2"/>
      </rPr>
      <t xml:space="preserve"> NON PRIS EN CHARGE</t>
    </r>
  </si>
  <si>
    <r>
      <t>**</t>
    </r>
    <r>
      <rPr>
        <b/>
        <sz val="9"/>
        <rFont val="Arial"/>
        <family val="2"/>
      </rPr>
      <t xml:space="preserve"> PRIS EN CHARGE</t>
    </r>
  </si>
  <si>
    <r>
      <t xml:space="preserve">REPAS N.P.C </t>
    </r>
    <r>
      <rPr>
        <b/>
        <sz val="12"/>
        <rFont val="Arial"/>
        <family val="2"/>
      </rPr>
      <t>*</t>
    </r>
  </si>
  <si>
    <r>
      <t>REPAS P.C ( 25% )</t>
    </r>
    <r>
      <rPr>
        <b/>
        <sz val="12"/>
        <rFont val="Arial"/>
        <family val="2"/>
      </rPr>
      <t xml:space="preserve"> **</t>
    </r>
  </si>
  <si>
    <t>2 - Ce déroulement doit être conforme aux indications portées sur l'O.M par les structures auprès desquelles vous avez effectué</t>
  </si>
  <si>
    <t xml:space="preserve">      la mission ( cachet,date et signature) le tout contresigné par votre  responsable hiérarchique supérieur.</t>
  </si>
  <si>
    <t>ARRETE LA PRESENTE NOTE DE FRAIS A LA SOMME DE :</t>
  </si>
  <si>
    <t>REPOS</t>
  </si>
  <si>
    <t>JOURNEE</t>
  </si>
  <si>
    <t>NBR</t>
  </si>
  <si>
    <t>6 - La récupération de la ou les journées de repos travaillées sont à faire valoir sur fiche de position.</t>
  </si>
  <si>
    <t>TRANSPORT ***</t>
  </si>
  <si>
    <t>5 - Mentionner la Zone I.Z.C.V. correspondant au lieu où vous avez passé les jours et nuits durant votre mission.</t>
  </si>
  <si>
    <t>NUITEES P.C ( 25% ) **</t>
  </si>
  <si>
    <t>NUITEES N.P.C *</t>
  </si>
  <si>
    <t xml:space="preserve">                                         D E C O M P T E</t>
  </si>
  <si>
    <t>OEUVRE (6)</t>
  </si>
  <si>
    <r>
      <t>***</t>
    </r>
    <r>
      <rPr>
        <b/>
        <sz val="9"/>
        <rFont val="Arial"/>
        <family val="2"/>
      </rPr>
      <t xml:space="preserve"> JOINDRE DECLARATION </t>
    </r>
  </si>
  <si>
    <t xml:space="preserve">         ET JUSTIFICATIFS</t>
  </si>
  <si>
    <t>TOTAL</t>
  </si>
  <si>
    <t>NPC</t>
  </si>
  <si>
    <t>PC</t>
  </si>
  <si>
    <t>Echelle:</t>
  </si>
  <si>
    <t>RH - JF</t>
  </si>
  <si>
    <t>H</t>
  </si>
  <si>
    <t>MN</t>
  </si>
  <si>
    <t>LE</t>
  </si>
  <si>
    <t xml:space="preserve">NOM &amp; PRENOMS : </t>
  </si>
  <si>
    <t xml:space="preserve">AFFECTATION : </t>
  </si>
  <si>
    <t xml:space="preserve">FONCTION : </t>
  </si>
  <si>
    <t xml:space="preserve">DATE ET SIGNATURE </t>
  </si>
  <si>
    <t>RETENUE DE L'AVANCE S'IL Y A LIEU</t>
  </si>
  <si>
    <t>MONTANT</t>
  </si>
  <si>
    <t xml:space="preserve">SUIVI DE MISSION  </t>
  </si>
  <si>
    <t>ECHELLE DE 21 et plus</t>
  </si>
  <si>
    <t>KILOMETRE</t>
  </si>
  <si>
    <t>FACTURE D'HOTEL</t>
  </si>
  <si>
    <t xml:space="preserve"> </t>
  </si>
  <si>
    <t>DATE</t>
  </si>
  <si>
    <t>ITINERAIRE</t>
  </si>
  <si>
    <t>MAJ :</t>
  </si>
  <si>
    <t>REF :</t>
  </si>
  <si>
    <t>EFFET</t>
  </si>
  <si>
    <t>ECHELLE DE 8 à 20</t>
  </si>
  <si>
    <t>LIEU(2)</t>
  </si>
  <si>
    <t>PRISE EN CHARGE PERSONNELLE  AVEC PIECE JUSTIFICATIVE FACTURE D'HOTEL</t>
  </si>
  <si>
    <t>Repas</t>
  </si>
  <si>
    <t xml:space="preserve">Total </t>
  </si>
  <si>
    <t>Nuitée(s)</t>
  </si>
  <si>
    <t>Montant</t>
  </si>
  <si>
    <t>1 - A établir par l'agent dès son retour de mission, joindre original OM + souche billet avion et justificatif.</t>
  </si>
  <si>
    <t>Activité Transport par Canalisation</t>
  </si>
  <si>
    <t>Ordre de Mission N°</t>
  </si>
  <si>
    <t>Du</t>
  </si>
  <si>
    <t>Fonction:</t>
  </si>
  <si>
    <t>Matricule:</t>
  </si>
  <si>
    <t>Nom &amp; Prénom:</t>
  </si>
  <si>
    <t>Structure:</t>
  </si>
  <si>
    <t>Objet de la Mission:</t>
  </si>
  <si>
    <t>Itinéraire:</t>
  </si>
  <si>
    <t>Début de Mission:</t>
  </si>
  <si>
    <t>Le:</t>
  </si>
  <si>
    <t>à:</t>
  </si>
  <si>
    <t>Compte rendu du déroulement de la mission</t>
  </si>
  <si>
    <t>(A renseigner soigneusement avec ou sans " Prise en charge")</t>
  </si>
  <si>
    <t>Date</t>
  </si>
  <si>
    <t>Hébergement*</t>
  </si>
  <si>
    <t>Avec Prise en Charge</t>
  </si>
  <si>
    <t>Déjeuner*</t>
  </si>
  <si>
    <t>Diner*</t>
  </si>
  <si>
    <t>Observation</t>
  </si>
  <si>
    <t>* Cochez la case correspondante à chaque date.</t>
  </si>
  <si>
    <t>Fin de Mission:</t>
  </si>
  <si>
    <t>Moyen de transport utilisés:</t>
  </si>
  <si>
    <t>A l'aller:</t>
  </si>
  <si>
    <t>Au retour:</t>
  </si>
  <si>
    <t>Signature &amp; griffe</t>
  </si>
  <si>
    <r>
      <t>Réf.: CCE : articles</t>
    </r>
    <r>
      <rPr>
        <b/>
        <sz val="10"/>
        <rFont val="Arial"/>
        <family val="2"/>
      </rPr>
      <t xml:space="preserve"> 106</t>
    </r>
    <r>
      <rPr>
        <sz val="10"/>
        <rFont val="Arial"/>
        <family val="2"/>
      </rPr>
      <t xml:space="preserve"> à </t>
    </r>
    <r>
      <rPr>
        <b/>
        <sz val="10"/>
        <rFont val="Arial"/>
        <family val="2"/>
      </rPr>
      <t>113</t>
    </r>
    <r>
      <rPr>
        <sz val="10"/>
        <rFont val="Arial"/>
        <family val="2"/>
      </rPr>
      <t>.</t>
    </r>
  </si>
  <si>
    <t xml:space="preserve">Rappel Art 113 : " Le travalleur  bénéficie des frais de restauration dés lors qu'il se trouve éloigné de sa résidence ou de son lieu de travail habituel pendant les périodes de temps comprises entre onze (11) heures et quatorze (14) heures, dix huit (18) heures et vingt et une (21) heures. Il bénéficie des frais d'hébergement lorsqu'il se trouve éloigné de sa résidence habituelle pendant les périodes de temps comprises entre vingt trois (23) heures et six (06) heures."  </t>
  </si>
  <si>
    <t>Visa du Missionnaire</t>
  </si>
  <si>
    <t>heures</t>
  </si>
  <si>
    <t>Minutes</t>
  </si>
  <si>
    <t>Heures</t>
  </si>
  <si>
    <t>Sans Prise en Charge</t>
  </si>
  <si>
    <t>DATE ET HEURE REELLE DE DEPART (du lieu de la mission):   LE</t>
  </si>
  <si>
    <t>Moyens de transport utilisés</t>
  </si>
  <si>
    <t>A l'aller</t>
  </si>
  <si>
    <t>Au Retour</t>
  </si>
  <si>
    <t>OBJET DE LA MISSION:</t>
  </si>
  <si>
    <r>
      <t>Date et heure du départ (</t>
    </r>
    <r>
      <rPr>
        <i/>
        <sz val="10"/>
        <rFont val="Arial"/>
        <family val="2"/>
      </rPr>
      <t>du lieu de résidence ou du lieu de travail habituel</t>
    </r>
    <r>
      <rPr>
        <sz val="10"/>
        <rFont val="Arial"/>
        <family val="2"/>
      </rPr>
      <t>)</t>
    </r>
  </si>
  <si>
    <r>
      <t>Date et heure d'Arrivée (</t>
    </r>
    <r>
      <rPr>
        <i/>
        <sz val="10"/>
        <rFont val="Arial"/>
        <family val="2"/>
      </rPr>
      <t>au lieu où doit se dérouler la mission</t>
    </r>
    <r>
      <rPr>
        <sz val="10"/>
        <rFont val="Arial"/>
        <family val="2"/>
      </rPr>
      <t>)</t>
    </r>
  </si>
  <si>
    <r>
      <t>Date et heure du départ (</t>
    </r>
    <r>
      <rPr>
        <i/>
        <sz val="10"/>
        <rFont val="Arial"/>
        <family val="2"/>
      </rPr>
      <t>du lieu où avait été déroulée la mission</t>
    </r>
    <r>
      <rPr>
        <sz val="10"/>
        <rFont val="Arial"/>
        <family val="2"/>
      </rPr>
      <t>)</t>
    </r>
  </si>
  <si>
    <r>
      <t>Date et heure d'Arrivée  (</t>
    </r>
    <r>
      <rPr>
        <i/>
        <sz val="10"/>
        <rFont val="Arial"/>
        <family val="2"/>
      </rPr>
      <t>au lieu de résidence ou au lieu de travail habituel</t>
    </r>
    <r>
      <rPr>
        <sz val="10"/>
        <rFont val="Arial"/>
        <family val="2"/>
      </rPr>
      <t>)</t>
    </r>
  </si>
  <si>
    <t xml:space="preserve">DIRECTION : </t>
  </si>
  <si>
    <t>VISA DU CHARGE DES NOTES DE FRAIS</t>
  </si>
  <si>
    <t>DECLARATION SUR L'HONNEUR</t>
  </si>
  <si>
    <t xml:space="preserve">POUR REMBOURSEMENT DES FRAIS DE TRANSPORT </t>
  </si>
  <si>
    <t>Martricule :</t>
  </si>
  <si>
    <t>KM</t>
  </si>
  <si>
    <t>Depart le :</t>
  </si>
  <si>
    <t>Direction :</t>
  </si>
  <si>
    <t>propres moyens</t>
  </si>
  <si>
    <t>¨</t>
  </si>
  <si>
    <t>Déclare sur l'honneur avoir déboursé :</t>
  </si>
  <si>
    <t xml:space="preserve">Au titre des frais de transport sur le trajet </t>
  </si>
  <si>
    <t>LA SOMME</t>
  </si>
  <si>
    <t>Utilisation propres moyens AVEC JUSTIFICATIFS</t>
  </si>
  <si>
    <t>Utilisation propres moyens SANS JUSTIFICATIFS</t>
  </si>
  <si>
    <t>Renseignements Personnels de l'agent</t>
  </si>
  <si>
    <t>Renseignements sur la mission</t>
  </si>
  <si>
    <t>COULEUR</t>
  </si>
  <si>
    <t>Le Responsable Hiérarchique</t>
  </si>
  <si>
    <t>ITINERAIRES :</t>
  </si>
  <si>
    <t>Service Gestion ADM / Département ASL</t>
  </si>
  <si>
    <t xml:space="preserve"> LE DIRECTEUR REGIONAL </t>
  </si>
  <si>
    <t xml:space="preserve">  LE CHEF DÉPARTEMENT ASL</t>
  </si>
  <si>
    <t xml:space="preserve">LE RESPONSABLE DE LA STRUCTURE </t>
  </si>
  <si>
    <t xml:space="preserve"> LE CHEF SERVICE GESTION ADM</t>
  </si>
  <si>
    <t xml:space="preserve">L'interessé (e) </t>
  </si>
  <si>
    <t>arrivé le  :</t>
  </si>
  <si>
    <t>Dans le cadre de mission que j'ai effectué(e) à:</t>
  </si>
  <si>
    <t>Nom et Prenoms :</t>
  </si>
  <si>
    <t xml:space="preserve">Fonction : </t>
  </si>
  <si>
    <t>Structure :</t>
  </si>
  <si>
    <t>N° d'Ordre de mission :</t>
  </si>
  <si>
    <t>N.B : Uniquement pour les frais de transport non justifiés :</t>
  </si>
  <si>
    <t>Mle SAP paie</t>
  </si>
  <si>
    <t>3 - Ressortir Lieu Géographique ( ex: Alger,Skikda,Hadjret Ennous,Bejaia, etc………)</t>
  </si>
  <si>
    <t>NON</t>
  </si>
  <si>
    <t>LE SOUS-DIRECTEUR ADM &amp; MOG</t>
  </si>
  <si>
    <r>
      <rPr>
        <b/>
        <sz val="12"/>
        <rFont val="Arial"/>
        <family val="2"/>
      </rPr>
      <t>RTE</t>
    </r>
    <r>
      <rPr>
        <sz val="12"/>
        <rFont val="Arial"/>
        <family val="2"/>
      </rPr>
      <t xml:space="preserve"> le :</t>
    </r>
  </si>
  <si>
    <t>RTE</t>
  </si>
  <si>
    <t>RTE.</t>
  </si>
  <si>
    <t xml:space="preserve">Direction Régionale Transport Est (RTE)
</t>
  </si>
  <si>
    <t>Direction Régionale Transport  Est (RTE)</t>
  </si>
  <si>
    <t>Régional Transport Est (RTE)</t>
  </si>
  <si>
    <t>Direction Régionale Transport Est  (RTE)</t>
  </si>
  <si>
    <t>Rapport de Mission</t>
  </si>
  <si>
    <t>Matricule       :</t>
  </si>
  <si>
    <t xml:space="preserve">Nom et Prénoms :       </t>
  </si>
  <si>
    <t>Fonction        :</t>
  </si>
  <si>
    <t>Date et Heure Début de Mission :</t>
  </si>
  <si>
    <t>Date et Heure Fin de Mission     :</t>
  </si>
  <si>
    <t>Objet de la Mission :</t>
  </si>
  <si>
    <t>Résultats de la mission :</t>
  </si>
  <si>
    <t>Contraintes rencontré en matière de prise en charge et de transport :</t>
  </si>
  <si>
    <t>Visa du missionnaire</t>
  </si>
  <si>
    <t>Signature et griffe</t>
  </si>
  <si>
    <t>NB : Doit ête rédigé dès retour de mission et joint obligatoirement à la note de fais</t>
  </si>
  <si>
    <t xml:space="preserve">N° OM </t>
  </si>
  <si>
    <t xml:space="preserve">DATE : </t>
  </si>
  <si>
    <t>Réf  OM N°:</t>
  </si>
  <si>
    <t>00</t>
  </si>
  <si>
    <t>DATE &amp; HEURE REELLE D'ARRIVEE (au lieu de la mission):       LE</t>
  </si>
  <si>
    <t>………………………………………………………………………………………………………………………………………………………………………………………………………………………………………………………………………………………………………………………………………………………………………………………………………………………………………………………………………………………………………………R…A…S……………………………………………………………………………………………………………………………………………………………………………………………………………………………………………………………………………………………………………………………………………………………………………………………………………………………………………………………………………………………………………………………………………………………………………………………………………………………………………………………………………………………………………………………………………………………………………………………………………………………………………………………………………………………………………………………………………………………………………………………………………………………………………………………………………………………………………………………………………………………………………………………………………………………………………………………………………………………………………………………………</t>
  </si>
  <si>
    <t>17</t>
  </si>
  <si>
    <t>08</t>
  </si>
  <si>
    <t>OUI</t>
  </si>
  <si>
    <t>SP2 DJAMAA</t>
  </si>
  <si>
    <t>19/04/2025</t>
  </si>
  <si>
    <t>21/04/2025</t>
  </si>
  <si>
    <t xml:space="preserve">THECNICIEN MECANICIEN PPL N2 </t>
  </si>
  <si>
    <t>CHELGHOUM LAID-BOUMERDES-CHELGHOUM LAID</t>
  </si>
  <si>
    <t>191/SP2</t>
  </si>
  <si>
    <t>SETIF</t>
  </si>
  <si>
    <t>BOUMERDES</t>
  </si>
  <si>
    <t>CHELGHOUM LAID-BOUMERDES</t>
  </si>
  <si>
    <t>BOUMERDES-CHELGHOUM LAID</t>
  </si>
  <si>
    <t>63018511</t>
  </si>
  <si>
    <t>MALEK MOUHAMMED RIDHA</t>
  </si>
  <si>
    <t>du 07/05/25</t>
  </si>
  <si>
    <t xml:space="preserve">suivre  une formation </t>
  </si>
  <si>
    <t>propre moyens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</si>
</sst>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 #,##0.00\ &quot;€&quot;_-;\-* #,##0.00\ &quot;€&quot;_-;_-* &quot;-&quot;??\ &quot;€&quot;_-;_-@_-"/>
    <numFmt numFmtId="165" formatCode="#,##0.00;[Red]#,##0.00"/>
    <numFmt numFmtId="166" formatCode="d/m/yy"/>
    <numFmt numFmtId="167" formatCode="General_)"/>
    <numFmt numFmtId="168" formatCode="dd/mm/yy;@"/>
  </numFmts>
  <fonts count="24" x14ac:knownFonts="1">
    <font>
      <sz val="10"/>
      <name val="Arial"/>
    </font>
    <font>
      <sz val="10"/>
      <name val="Arial"/>
      <family val="2"/>
    </font>
    <font>
      <b/>
      <sz val="12"/>
      <color indexed="8"/>
      <name val="Times New Roman"/>
      <family val="1"/>
    </font>
    <font>
      <sz val="8"/>
      <name val="Arial"/>
      <family val="2"/>
    </font>
    <font>
      <b/>
      <sz val="10"/>
      <name val="Arial"/>
      <family val="2"/>
    </font>
    <font>
      <b/>
      <sz val="14"/>
      <name val="Arial"/>
      <family val="2"/>
    </font>
    <font>
      <b/>
      <sz val="12"/>
      <name val="Arial"/>
      <family val="2"/>
    </font>
    <font>
      <b/>
      <u/>
      <sz val="12"/>
      <name val="Arial"/>
      <family val="2"/>
    </font>
    <font>
      <b/>
      <sz val="9"/>
      <name val="Arial"/>
      <family val="2"/>
    </font>
    <font>
      <b/>
      <sz val="10"/>
      <color indexed="10"/>
      <name val="Arial"/>
      <family val="2"/>
    </font>
    <font>
      <b/>
      <sz val="8"/>
      <name val="Arial"/>
      <family val="2"/>
    </font>
    <font>
      <sz val="8"/>
      <name val="Arial"/>
      <family val="2"/>
    </font>
    <font>
      <sz val="10"/>
      <name val="Arial"/>
      <family val="2"/>
    </font>
    <font>
      <b/>
      <sz val="11"/>
      <name val="Arial"/>
      <family val="2"/>
    </font>
    <font>
      <sz val="14"/>
      <name val="Arial"/>
      <family val="2"/>
    </font>
    <font>
      <u/>
      <sz val="10"/>
      <name val="Arial"/>
      <family val="2"/>
    </font>
    <font>
      <i/>
      <sz val="10"/>
      <name val="Arial"/>
      <family val="2"/>
    </font>
    <font>
      <sz val="10"/>
      <name val="Arial"/>
      <family val="2"/>
    </font>
    <font>
      <sz val="12"/>
      <name val="Arial"/>
      <family val="2"/>
    </font>
    <font>
      <b/>
      <u/>
      <sz val="14"/>
      <name val="Arial"/>
      <family val="2"/>
    </font>
    <font>
      <sz val="11"/>
      <name val="Arial"/>
      <family val="2"/>
    </font>
    <font>
      <sz val="9"/>
      <name val="Arial"/>
      <family val="2"/>
    </font>
    <font>
      <b/>
      <u/>
      <sz val="11"/>
      <name val="Arial"/>
      <family val="2"/>
    </font>
    <font>
      <i/>
      <sz val="7"/>
      <name val="Arial"/>
      <family val="2"/>
    </font>
  </fonts>
  <fills count="14">
    <fill>
      <patternFill patternType="none"/>
    </fill>
    <fill>
      <patternFill patternType="gray125"/>
    </fill>
    <fill>
      <patternFill patternType="gray125">
        <bgColor indexed="9"/>
      </patternFill>
    </fill>
    <fill>
      <patternFill patternType="solid">
        <fgColor indexed="9"/>
        <bgColor indexed="64"/>
      </patternFill>
    </fill>
    <fill>
      <patternFill patternType="gray0625">
        <bgColor indexed="22"/>
      </patternFill>
    </fill>
    <fill>
      <patternFill patternType="lightDown">
        <bgColor indexed="9"/>
      </patternFill>
    </fill>
    <fill>
      <patternFill patternType="gray0625">
        <bgColor indexed="9"/>
      </patternFill>
    </fill>
    <fill>
      <patternFill patternType="lightHorizontal">
        <bgColor indexed="9"/>
      </patternFill>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gray0625">
        <bgColor rgb="FFFFFF00"/>
      </patternFill>
    </fill>
    <fill>
      <patternFill patternType="solid">
        <fgColor theme="0" tint="-0.34998626667073579"/>
        <bgColor indexed="64"/>
      </patternFill>
    </fill>
    <fill>
      <patternFill patternType="solid">
        <fgColor rgb="FF92D050"/>
        <bgColor indexed="64"/>
      </patternFill>
    </fill>
  </fills>
  <borders count="75">
    <border>
      <left/>
      <right/>
      <top/>
      <bottom/>
      <diagonal/>
    </border>
    <border>
      <left style="thin">
        <color indexed="8"/>
      </left>
      <right style="thin">
        <color indexed="8"/>
      </right>
      <top style="thin">
        <color indexed="8"/>
      </top>
      <bottom style="thin">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right/>
      <top style="hair">
        <color indexed="64"/>
      </top>
      <bottom style="hair">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hair">
        <color indexed="64"/>
      </top>
      <bottom style="hair">
        <color indexed="64"/>
      </bottom>
      <diagonal/>
    </border>
    <border>
      <left style="thin">
        <color indexed="64"/>
      </left>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hair">
        <color indexed="64"/>
      </bottom>
      <diagonal/>
    </border>
    <border>
      <left/>
      <right/>
      <top/>
      <bottom style="hair">
        <color indexed="64"/>
      </bottom>
      <diagonal/>
    </border>
    <border>
      <left/>
      <right style="medium">
        <color indexed="64"/>
      </right>
      <top/>
      <bottom style="hair">
        <color indexed="64"/>
      </bottom>
      <diagonal/>
    </border>
    <border>
      <left style="thin">
        <color indexed="64"/>
      </left>
      <right/>
      <top style="thin">
        <color indexed="64"/>
      </top>
      <bottom style="medium">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
      <left style="thin">
        <color indexed="64"/>
      </left>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4">
    <xf numFmtId="0" fontId="0" fillId="0" borderId="0"/>
    <xf numFmtId="167" fontId="2" fillId="2" borderId="1"/>
    <xf numFmtId="9" fontId="1" fillId="0" borderId="0" applyFont="0" applyFill="0" applyBorder="0" applyAlignment="0" applyProtection="0"/>
    <xf numFmtId="164" fontId="17" fillId="0" borderId="0" applyFont="0" applyFill="0" applyBorder="0" applyAlignment="0" applyProtection="0"/>
  </cellStyleXfs>
  <cellXfs count="621">
    <xf numFmtId="0" fontId="0" fillId="0" borderId="0" xfId="0"/>
    <xf numFmtId="165" fontId="4" fillId="0" borderId="11" xfId="0" applyNumberFormat="1" applyFont="1" applyBorder="1" applyProtection="1"/>
    <xf numFmtId="165" fontId="4" fillId="0" borderId="16" xfId="0" applyNumberFormat="1" applyFont="1" applyBorder="1" applyProtection="1"/>
    <xf numFmtId="165" fontId="4" fillId="0" borderId="38" xfId="0" applyNumberFormat="1" applyFont="1" applyBorder="1" applyProtection="1"/>
    <xf numFmtId="0" fontId="4" fillId="0" borderId="42" xfId="0" applyFont="1" applyBorder="1" applyAlignment="1" applyProtection="1">
      <alignment horizontal="center"/>
      <protection locked="0"/>
    </xf>
    <xf numFmtId="49" fontId="4" fillId="0" borderId="44" xfId="0" applyNumberFormat="1" applyFont="1" applyBorder="1" applyAlignment="1" applyProtection="1">
      <alignment horizontal="center"/>
      <protection locked="0"/>
    </xf>
    <xf numFmtId="0" fontId="4" fillId="0" borderId="2" xfId="0" applyFont="1" applyBorder="1" applyAlignment="1" applyProtection="1">
      <alignment vertical="center"/>
      <protection locked="0"/>
    </xf>
    <xf numFmtId="0" fontId="4" fillId="0" borderId="5" xfId="0" applyFont="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0" xfId="0" applyFont="1" applyBorder="1" applyAlignment="1" applyProtection="1">
      <alignment horizontal="right" vertical="center"/>
      <protection locked="0"/>
    </xf>
    <xf numFmtId="0" fontId="4" fillId="0" borderId="0" xfId="0" applyFont="1" applyBorder="1" applyAlignment="1" applyProtection="1">
      <alignment horizontal="center" vertical="center"/>
      <protection locked="0"/>
    </xf>
    <xf numFmtId="0" fontId="4" fillId="0" borderId="0" xfId="0" applyFont="1" applyBorder="1" applyAlignment="1" applyProtection="1">
      <alignment horizontal="left" vertical="center"/>
      <protection locked="0"/>
    </xf>
    <xf numFmtId="0" fontId="4" fillId="0" borderId="7" xfId="0" applyFont="1" applyBorder="1" applyAlignment="1" applyProtection="1">
      <alignment vertical="center"/>
      <protection locked="0"/>
    </xf>
    <xf numFmtId="0" fontId="4" fillId="0" borderId="8" xfId="0" applyFont="1" applyBorder="1" applyAlignment="1" applyProtection="1">
      <alignment vertical="center"/>
      <protection locked="0"/>
    </xf>
    <xf numFmtId="0" fontId="4" fillId="0" borderId="8" xfId="0" applyFont="1" applyBorder="1" applyAlignment="1" applyProtection="1">
      <alignment horizontal="right" vertical="center"/>
      <protection locked="0"/>
    </xf>
    <xf numFmtId="0" fontId="4" fillId="0" borderId="8"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168" fontId="4" fillId="0" borderId="0" xfId="0" applyNumberFormat="1" applyFont="1" applyBorder="1" applyAlignment="1" applyProtection="1">
      <alignment horizontal="right" vertical="center"/>
      <protection locked="0"/>
    </xf>
    <xf numFmtId="0" fontId="0" fillId="0" borderId="0" xfId="0" applyBorder="1" applyAlignment="1" applyProtection="1">
      <alignment horizontal="center" vertical="center"/>
      <protection locked="0"/>
    </xf>
    <xf numFmtId="0" fontId="4" fillId="0" borderId="0" xfId="0" applyFont="1" applyBorder="1" applyProtection="1">
      <protection locked="0"/>
    </xf>
    <xf numFmtId="4" fontId="4" fillId="0" borderId="0" xfId="0" applyNumberFormat="1" applyFont="1" applyBorder="1" applyAlignment="1" applyProtection="1">
      <alignment horizontal="center"/>
      <protection locked="0"/>
    </xf>
    <xf numFmtId="0" fontId="0" fillId="0" borderId="0" xfId="0" applyBorder="1" applyProtection="1">
      <protection locked="0"/>
    </xf>
    <xf numFmtId="0" fontId="4" fillId="0" borderId="25" xfId="0" applyFont="1" applyBorder="1" applyProtection="1">
      <protection locked="0"/>
    </xf>
    <xf numFmtId="49" fontId="4" fillId="0" borderId="0" xfId="0" applyNumberFormat="1" applyFont="1" applyBorder="1" applyProtection="1">
      <protection locked="0"/>
    </xf>
    <xf numFmtId="0" fontId="4" fillId="0" borderId="34" xfId="0" applyFont="1" applyBorder="1" applyProtection="1">
      <protection locked="0"/>
    </xf>
    <xf numFmtId="0" fontId="0" fillId="0" borderId="0" xfId="0" applyBorder="1" applyAlignment="1" applyProtection="1">
      <alignment horizontal="center" wrapText="1"/>
      <protection locked="0"/>
    </xf>
    <xf numFmtId="49" fontId="4" fillId="0" borderId="0" xfId="0" applyNumberFormat="1" applyFont="1" applyBorder="1" applyAlignment="1" applyProtection="1">
      <alignment horizontal="center"/>
      <protection locked="0"/>
    </xf>
    <xf numFmtId="0" fontId="0" fillId="0" borderId="0" xfId="0" applyProtection="1">
      <protection locked="0"/>
    </xf>
    <xf numFmtId="0" fontId="0" fillId="0" borderId="0" xfId="0" applyAlignment="1" applyProtection="1">
      <alignment horizontal="center"/>
      <protection locked="0"/>
    </xf>
    <xf numFmtId="0" fontId="0" fillId="0" borderId="0" xfId="0" applyBorder="1" applyAlignment="1" applyProtection="1">
      <alignment horizontal="center"/>
      <protection locked="0"/>
    </xf>
    <xf numFmtId="4" fontId="0" fillId="0" borderId="0" xfId="0" applyNumberFormat="1" applyBorder="1" applyAlignment="1" applyProtection="1">
      <alignment horizontal="center"/>
      <protection locked="0"/>
    </xf>
    <xf numFmtId="0" fontId="4" fillId="11" borderId="9" xfId="0" applyFont="1" applyFill="1" applyBorder="1" applyAlignment="1" applyProtection="1">
      <alignment horizontal="center"/>
      <protection locked="0"/>
    </xf>
    <xf numFmtId="49" fontId="1" fillId="10" borderId="9" xfId="0" applyNumberFormat="1" applyFont="1" applyFill="1" applyBorder="1" applyAlignment="1" applyProtection="1">
      <alignment horizontal="center" wrapText="1"/>
      <protection locked="0"/>
    </xf>
    <xf numFmtId="49" fontId="12" fillId="10" borderId="9" xfId="0" applyNumberFormat="1" applyFont="1" applyFill="1" applyBorder="1" applyAlignment="1" applyProtection="1">
      <alignment horizontal="center" wrapText="1"/>
      <protection locked="0"/>
    </xf>
    <xf numFmtId="0" fontId="0" fillId="0" borderId="0" xfId="0" applyBorder="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6" fillId="0" borderId="0" xfId="0" applyFont="1" applyBorder="1" applyAlignment="1" applyProtection="1">
      <alignment vertical="center"/>
      <protection locked="0"/>
    </xf>
    <xf numFmtId="0" fontId="0" fillId="0" borderId="0" xfId="0" applyAlignment="1" applyProtection="1">
      <alignment vertical="center"/>
    </xf>
    <xf numFmtId="49" fontId="6" fillId="0" borderId="0" xfId="0" applyNumberFormat="1" applyFont="1" applyBorder="1" applyAlignment="1" applyProtection="1">
      <alignment horizontal="center" vertical="center"/>
    </xf>
    <xf numFmtId="0" fontId="6" fillId="0" borderId="0" xfId="0" applyFont="1" applyBorder="1" applyAlignment="1" applyProtection="1">
      <alignment vertical="center"/>
    </xf>
    <xf numFmtId="49" fontId="8" fillId="0" borderId="9" xfId="0" applyNumberFormat="1" applyFont="1" applyBorder="1" applyAlignment="1" applyProtection="1">
      <alignment horizontal="center"/>
      <protection locked="0"/>
    </xf>
    <xf numFmtId="0" fontId="8" fillId="0" borderId="9" xfId="0" applyFont="1" applyBorder="1" applyAlignment="1" applyProtection="1">
      <alignment horizontal="center"/>
      <protection locked="0"/>
    </xf>
    <xf numFmtId="15" fontId="8" fillId="0" borderId="9" xfId="0" applyNumberFormat="1" applyFont="1" applyBorder="1" applyAlignment="1" applyProtection="1">
      <alignment horizontal="center"/>
      <protection locked="0"/>
    </xf>
    <xf numFmtId="0" fontId="6" fillId="0" borderId="0" xfId="0" applyFont="1" applyAlignment="1" applyProtection="1">
      <alignment horizontal="left"/>
      <protection locked="0"/>
    </xf>
    <xf numFmtId="0" fontId="6" fillId="0" borderId="0" xfId="0" applyFont="1" applyAlignment="1" applyProtection="1">
      <alignment horizontal="left" vertical="center"/>
      <protection locked="0"/>
    </xf>
    <xf numFmtId="0" fontId="6" fillId="0" borderId="0" xfId="0" applyFont="1" applyAlignment="1" applyProtection="1">
      <alignment horizontal="center"/>
      <protection locked="0"/>
    </xf>
    <xf numFmtId="0" fontId="4" fillId="0" borderId="0" xfId="0" applyFont="1" applyAlignment="1" applyProtection="1">
      <alignment wrapText="1"/>
      <protection locked="0"/>
    </xf>
    <xf numFmtId="0" fontId="12" fillId="0" borderId="9" xfId="0" applyFont="1" applyBorder="1" applyProtection="1">
      <protection locked="0"/>
    </xf>
    <xf numFmtId="1" fontId="1" fillId="10" borderId="9" xfId="0" applyNumberFormat="1" applyFont="1" applyFill="1" applyBorder="1" applyAlignment="1" applyProtection="1">
      <alignment horizontal="center"/>
      <protection locked="0"/>
    </xf>
    <xf numFmtId="1" fontId="12" fillId="10" borderId="9" xfId="0" applyNumberFormat="1" applyFont="1" applyFill="1" applyBorder="1" applyAlignment="1" applyProtection="1">
      <alignment horizontal="center"/>
      <protection locked="0"/>
    </xf>
    <xf numFmtId="0" fontId="4" fillId="0" borderId="3" xfId="0" applyFont="1" applyBorder="1" applyProtection="1">
      <protection locked="0"/>
    </xf>
    <xf numFmtId="4" fontId="4" fillId="0" borderId="41" xfId="0" applyNumberFormat="1" applyFont="1" applyBorder="1" applyAlignment="1" applyProtection="1">
      <alignment horizontal="right"/>
      <protection locked="0"/>
    </xf>
    <xf numFmtId="4" fontId="4" fillId="0" borderId="6" xfId="0" applyNumberFormat="1" applyFont="1" applyBorder="1" applyAlignment="1" applyProtection="1">
      <alignment horizontal="right"/>
      <protection locked="0"/>
    </xf>
    <xf numFmtId="0" fontId="4" fillId="0" borderId="17" xfId="0" applyFont="1" applyBorder="1" applyProtection="1">
      <protection locked="0"/>
    </xf>
    <xf numFmtId="168" fontId="4" fillId="10" borderId="0" xfId="0" applyNumberFormat="1" applyFont="1" applyFill="1" applyBorder="1" applyAlignment="1" applyProtection="1">
      <alignment horizontal="right" vertical="center"/>
      <protection locked="0"/>
    </xf>
    <xf numFmtId="49" fontId="4" fillId="0" borderId="6" xfId="0" applyNumberFormat="1" applyFont="1" applyBorder="1" applyAlignment="1" applyProtection="1">
      <alignment horizontal="center" vertical="center"/>
      <protection locked="0"/>
    </xf>
    <xf numFmtId="0" fontId="8" fillId="0" borderId="9" xfId="0" applyFont="1" applyBorder="1" applyAlignment="1" applyProtection="1">
      <alignment horizontal="center" vertical="center"/>
      <protection locked="0"/>
    </xf>
    <xf numFmtId="0" fontId="4" fillId="0" borderId="62" xfId="0" applyFont="1" applyBorder="1" applyAlignment="1" applyProtection="1">
      <alignment horizontal="left" vertical="center"/>
      <protection locked="0"/>
    </xf>
    <xf numFmtId="0" fontId="4" fillId="0" borderId="15" xfId="0" applyFont="1" applyBorder="1" applyAlignment="1" applyProtection="1">
      <alignment horizontal="left" vertical="center"/>
      <protection locked="0"/>
    </xf>
    <xf numFmtId="9" fontId="4" fillId="0" borderId="17" xfId="2" applyFont="1" applyBorder="1" applyAlignment="1" applyProtection="1">
      <alignment horizontal="left" vertical="center"/>
      <protection locked="0"/>
    </xf>
    <xf numFmtId="0" fontId="0" fillId="0" borderId="64" xfId="0" applyBorder="1" applyAlignment="1" applyProtection="1">
      <alignment vertical="center"/>
      <protection locked="0"/>
    </xf>
    <xf numFmtId="0" fontId="0" fillId="0" borderId="33" xfId="0" applyBorder="1" applyAlignment="1" applyProtection="1">
      <alignment vertical="center"/>
      <protection locked="0"/>
    </xf>
    <xf numFmtId="0" fontId="4" fillId="0" borderId="65" xfId="0" applyFont="1" applyBorder="1" applyAlignment="1" applyProtection="1">
      <alignment horizontal="left" vertical="center"/>
      <protection locked="0"/>
    </xf>
    <xf numFmtId="0" fontId="4" fillId="0" borderId="24" xfId="0" applyFont="1" applyBorder="1" applyAlignment="1" applyProtection="1">
      <alignment horizontal="center" vertical="center"/>
      <protection locked="0"/>
    </xf>
    <xf numFmtId="168" fontId="4" fillId="10" borderId="8" xfId="0" applyNumberFormat="1" applyFont="1" applyFill="1" applyBorder="1" applyAlignment="1" applyProtection="1">
      <alignment horizontal="right" vertical="center"/>
      <protection locked="0"/>
    </xf>
    <xf numFmtId="0" fontId="4" fillId="0" borderId="18" xfId="0" applyFont="1" applyBorder="1" applyAlignment="1" applyProtection="1">
      <alignment vertical="center"/>
      <protection locked="0"/>
    </xf>
    <xf numFmtId="0" fontId="4" fillId="0" borderId="19" xfId="0" applyFont="1" applyBorder="1" applyAlignment="1" applyProtection="1">
      <alignment vertical="center"/>
      <protection locked="0"/>
    </xf>
    <xf numFmtId="0" fontId="4" fillId="0" borderId="19" xfId="0" applyFont="1" applyBorder="1" applyAlignment="1" applyProtection="1">
      <alignment horizontal="right" vertical="center"/>
      <protection locked="0"/>
    </xf>
    <xf numFmtId="168" fontId="4" fillId="10" borderId="19" xfId="0" applyNumberFormat="1" applyFont="1" applyFill="1" applyBorder="1" applyAlignment="1" applyProtection="1">
      <alignment horizontal="right" vertical="center"/>
      <protection locked="0"/>
    </xf>
    <xf numFmtId="49" fontId="4" fillId="10" borderId="19" xfId="0" quotePrefix="1" applyNumberFormat="1" applyFont="1" applyFill="1" applyBorder="1" applyAlignment="1" applyProtection="1">
      <alignment horizontal="right" vertical="center"/>
      <protection locked="0"/>
    </xf>
    <xf numFmtId="0" fontId="4" fillId="0" borderId="19" xfId="0" applyFont="1" applyBorder="1" applyAlignment="1" applyProtection="1">
      <alignment horizontal="center" vertical="center"/>
      <protection locked="0"/>
    </xf>
    <xf numFmtId="49" fontId="4" fillId="0" borderId="32" xfId="0" applyNumberFormat="1" applyFont="1" applyBorder="1" applyAlignment="1" applyProtection="1">
      <alignment horizontal="center" vertical="center"/>
      <protection locked="0"/>
    </xf>
    <xf numFmtId="0" fontId="0" fillId="0" borderId="32"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4" fillId="10" borderId="9" xfId="0" applyNumberFormat="1" applyFont="1" applyFill="1" applyBorder="1" applyAlignment="1" applyProtection="1">
      <alignment horizontal="left"/>
      <protection locked="0"/>
    </xf>
    <xf numFmtId="0" fontId="4" fillId="10" borderId="9" xfId="0" applyFont="1" applyFill="1" applyBorder="1" applyAlignment="1" applyProtection="1">
      <alignment horizontal="center"/>
      <protection locked="0"/>
    </xf>
    <xf numFmtId="0" fontId="4" fillId="10" borderId="9" xfId="0" applyFont="1" applyFill="1" applyBorder="1" applyAlignment="1" applyProtection="1">
      <alignment horizontal="left"/>
      <protection locked="0"/>
    </xf>
    <xf numFmtId="166" fontId="0" fillId="0" borderId="35" xfId="0" applyNumberFormat="1" applyBorder="1" applyAlignment="1" applyProtection="1">
      <alignment horizontal="center"/>
      <protection locked="0"/>
    </xf>
    <xf numFmtId="49" fontId="4" fillId="10" borderId="15" xfId="0" applyNumberFormat="1" applyFont="1" applyFill="1" applyBorder="1" applyAlignment="1" applyProtection="1">
      <alignment horizontal="left"/>
      <protection locked="0"/>
    </xf>
    <xf numFmtId="49" fontId="4" fillId="0" borderId="23" xfId="0" applyNumberFormat="1" applyFont="1" applyBorder="1" applyAlignment="1" applyProtection="1">
      <alignment horizontal="center"/>
      <protection locked="0"/>
    </xf>
    <xf numFmtId="0" fontId="4" fillId="10" borderId="15" xfId="0" applyFont="1" applyFill="1" applyBorder="1" applyAlignment="1" applyProtection="1">
      <alignment horizontal="left"/>
      <protection locked="0"/>
    </xf>
    <xf numFmtId="0" fontId="4" fillId="10" borderId="63" xfId="0" applyFont="1" applyFill="1" applyBorder="1" applyAlignment="1" applyProtection="1">
      <alignment horizontal="center"/>
      <protection locked="0"/>
    </xf>
    <xf numFmtId="0" fontId="4" fillId="10" borderId="17" xfId="0" applyFont="1" applyFill="1" applyBorder="1" applyAlignment="1" applyProtection="1">
      <alignment horizontal="right"/>
      <protection locked="0"/>
    </xf>
    <xf numFmtId="0" fontId="4" fillId="10" borderId="17" xfId="0" applyFont="1" applyFill="1" applyBorder="1" applyAlignment="1" applyProtection="1">
      <alignment horizontal="center"/>
      <protection locked="0"/>
    </xf>
    <xf numFmtId="0" fontId="4" fillId="11" borderId="17" xfId="0" applyFont="1" applyFill="1" applyBorder="1" applyAlignment="1" applyProtection="1">
      <alignment horizontal="center"/>
      <protection locked="0"/>
    </xf>
    <xf numFmtId="0" fontId="4" fillId="0" borderId="17" xfId="0" applyFont="1" applyBorder="1" applyAlignment="1" applyProtection="1">
      <alignment horizontal="right"/>
      <protection locked="0"/>
    </xf>
    <xf numFmtId="49" fontId="4" fillId="0" borderId="61" xfId="0" applyNumberFormat="1" applyFont="1" applyBorder="1" applyAlignment="1" applyProtection="1">
      <alignment horizontal="center"/>
      <protection locked="0"/>
    </xf>
    <xf numFmtId="4" fontId="4" fillId="0" borderId="13" xfId="0" applyNumberFormat="1" applyFont="1" applyBorder="1" applyAlignment="1" applyProtection="1">
      <alignment horizontal="center"/>
      <protection locked="0"/>
    </xf>
    <xf numFmtId="0" fontId="4" fillId="0" borderId="2" xfId="0" applyFont="1" applyBorder="1" applyProtection="1">
      <protection locked="0"/>
    </xf>
    <xf numFmtId="0" fontId="0" fillId="0" borderId="3" xfId="0" applyBorder="1" applyProtection="1">
      <protection locked="0"/>
    </xf>
    <xf numFmtId="0" fontId="4" fillId="0" borderId="44" xfId="0" applyFont="1" applyBorder="1" applyAlignment="1" applyProtection="1">
      <alignment horizontal="center"/>
      <protection locked="0"/>
    </xf>
    <xf numFmtId="0" fontId="4" fillId="0" borderId="59" xfId="0" applyFont="1" applyBorder="1" applyAlignment="1" applyProtection="1">
      <alignment horizontal="left"/>
      <protection locked="0"/>
    </xf>
    <xf numFmtId="0" fontId="4" fillId="0" borderId="50" xfId="0" applyFont="1" applyBorder="1" applyAlignment="1" applyProtection="1">
      <alignment horizontal="left"/>
      <protection locked="0"/>
    </xf>
    <xf numFmtId="4" fontId="4" fillId="0" borderId="61" xfId="0" applyNumberFormat="1" applyFont="1" applyBorder="1" applyAlignment="1" applyProtection="1">
      <alignment horizontal="center"/>
      <protection locked="0"/>
    </xf>
    <xf numFmtId="0" fontId="0" fillId="10" borderId="19" xfId="0" applyFill="1" applyBorder="1" applyAlignment="1" applyProtection="1">
      <alignment horizontal="center" vertical="center" wrapText="1"/>
      <protection locked="0"/>
    </xf>
    <xf numFmtId="0" fontId="0" fillId="10" borderId="32"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xf numFmtId="0" fontId="0" fillId="10" borderId="10" xfId="0" applyFill="1" applyBorder="1" applyAlignment="1" applyProtection="1">
      <alignment horizontal="center" vertical="center" wrapText="1"/>
      <protection locked="0"/>
    </xf>
    <xf numFmtId="165" fontId="4" fillId="10" borderId="68" xfId="0" applyNumberFormat="1" applyFont="1" applyFill="1" applyBorder="1" applyAlignment="1" applyProtection="1">
      <alignment horizontal="center"/>
      <protection locked="0"/>
    </xf>
    <xf numFmtId="4" fontId="4" fillId="0" borderId="61" xfId="0" applyNumberFormat="1" applyFont="1" applyBorder="1" applyAlignment="1" applyProtection="1">
      <alignment horizontal="center"/>
    </xf>
    <xf numFmtId="49" fontId="1" fillId="10" borderId="15" xfId="0" applyNumberFormat="1" applyFont="1" applyFill="1" applyBorder="1" applyAlignment="1" applyProtection="1">
      <alignment horizontal="center" wrapText="1"/>
      <protection locked="0"/>
    </xf>
    <xf numFmtId="4" fontId="4" fillId="10" borderId="23" xfId="0" applyNumberFormat="1" applyFont="1" applyFill="1" applyBorder="1" applyAlignment="1" applyProtection="1">
      <alignment horizontal="center"/>
    </xf>
    <xf numFmtId="1" fontId="4" fillId="0" borderId="17" xfId="0" applyNumberFormat="1" applyFont="1" applyBorder="1" applyAlignment="1" applyProtection="1">
      <alignment horizontal="center"/>
    </xf>
    <xf numFmtId="0" fontId="4" fillId="13" borderId="49" xfId="0" applyFont="1" applyFill="1" applyBorder="1" applyAlignment="1" applyProtection="1">
      <alignment horizontal="left" vertical="center"/>
      <protection locked="0"/>
    </xf>
    <xf numFmtId="0" fontId="8" fillId="0" borderId="20" xfId="0" applyFont="1" applyBorder="1" applyAlignment="1" applyProtection="1">
      <alignment horizontal="center" vertical="center"/>
      <protection locked="0"/>
    </xf>
    <xf numFmtId="0" fontId="4" fillId="0" borderId="69" xfId="0" applyFont="1" applyBorder="1" applyAlignment="1" applyProtection="1">
      <alignment vertical="center"/>
      <protection locked="0"/>
    </xf>
    <xf numFmtId="49" fontId="4" fillId="10" borderId="8" xfId="0" quotePrefix="1" applyNumberFormat="1" applyFont="1" applyFill="1" applyBorder="1" applyAlignment="1" applyProtection="1">
      <alignment horizontal="right" vertical="center"/>
      <protection locked="0"/>
    </xf>
    <xf numFmtId="0" fontId="4" fillId="0" borderId="9" xfId="0" applyFont="1" applyBorder="1" applyAlignment="1" applyProtection="1">
      <alignment horizontal="center"/>
      <protection locked="0"/>
    </xf>
    <xf numFmtId="0" fontId="4" fillId="0" borderId="17" xfId="0" applyFont="1" applyBorder="1" applyAlignment="1" applyProtection="1">
      <alignment horizontal="center"/>
    </xf>
    <xf numFmtId="49" fontId="4" fillId="0" borderId="0" xfId="0" applyNumberFormat="1" applyFont="1" applyBorder="1" applyAlignment="1" applyProtection="1">
      <alignment horizontal="center" wrapText="1"/>
      <protection locked="0"/>
    </xf>
    <xf numFmtId="0" fontId="0" fillId="0" borderId="0" xfId="0" applyAlignment="1" applyProtection="1">
      <alignment horizontal="center" wrapText="1"/>
      <protection locked="0"/>
    </xf>
    <xf numFmtId="0" fontId="6" fillId="0" borderId="0" xfId="0" applyFont="1" applyBorder="1" applyAlignment="1" applyProtection="1">
      <alignment horizontal="center" vertical="center"/>
      <protection locked="0"/>
    </xf>
    <xf numFmtId="49" fontId="5" fillId="0" borderId="0" xfId="0" applyNumberFormat="1" applyFont="1" applyBorder="1" applyAlignment="1" applyProtection="1">
      <alignment horizontal="center" vertical="center" wrapText="1"/>
      <protection locked="0"/>
    </xf>
    <xf numFmtId="0" fontId="14" fillId="0" borderId="0" xfId="0"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4" fillId="0" borderId="0" xfId="0" applyFont="1" applyBorder="1" applyAlignment="1" applyProtection="1">
      <alignment horizontal="left"/>
      <protection locked="0"/>
    </xf>
    <xf numFmtId="0" fontId="5" fillId="0" borderId="0" xfId="0" applyFont="1" applyAlignment="1" applyProtection="1">
      <protection locked="0"/>
    </xf>
    <xf numFmtId="0" fontId="6" fillId="0" borderId="0" xfId="0" applyFont="1" applyAlignment="1" applyProtection="1">
      <protection locked="0"/>
    </xf>
    <xf numFmtId="0" fontId="6" fillId="0" borderId="0" xfId="0" applyFont="1" applyBorder="1" applyAlignment="1" applyProtection="1">
      <alignment horizontal="center"/>
      <protection locked="0"/>
    </xf>
    <xf numFmtId="0" fontId="7" fillId="0" borderId="0" xfId="0" applyFont="1" applyBorder="1" applyAlignment="1" applyProtection="1">
      <alignment horizontal="center"/>
      <protection locked="0"/>
    </xf>
    <xf numFmtId="0" fontId="15" fillId="0" borderId="0" xfId="0" applyFont="1" applyAlignment="1" applyProtection="1">
      <protection locked="0"/>
    </xf>
    <xf numFmtId="0" fontId="15" fillId="0" borderId="0" xfId="0" applyFont="1" applyBorder="1" applyAlignment="1" applyProtection="1">
      <alignment horizontal="center" vertical="center"/>
      <protection locked="0"/>
    </xf>
    <xf numFmtId="0" fontId="0" fillId="0" borderId="0" xfId="0" applyAlignment="1" applyProtection="1">
      <alignment horizontal="left"/>
      <protection locked="0"/>
    </xf>
    <xf numFmtId="0" fontId="15" fillId="0" borderId="0" xfId="0" applyFont="1" applyProtection="1">
      <protection locked="0"/>
    </xf>
    <xf numFmtId="0" fontId="4" fillId="0" borderId="0" xfId="0" applyFont="1" applyProtection="1">
      <protection locked="0"/>
    </xf>
    <xf numFmtId="0" fontId="12" fillId="0" borderId="0" xfId="0" applyFont="1" applyProtection="1">
      <protection locked="0"/>
    </xf>
    <xf numFmtId="0" fontId="15" fillId="0" borderId="0" xfId="0" applyFont="1" applyAlignment="1" applyProtection="1">
      <alignment horizontal="right"/>
      <protection locked="0"/>
    </xf>
    <xf numFmtId="0" fontId="4" fillId="0" borderId="9" xfId="0" applyFont="1" applyBorder="1" applyAlignment="1" applyProtection="1">
      <alignment horizontal="center" vertical="center" wrapText="1"/>
      <protection locked="0"/>
    </xf>
    <xf numFmtId="0" fontId="12" fillId="0" borderId="0" xfId="0" quotePrefix="1" applyFont="1" applyProtection="1">
      <protection locked="0"/>
    </xf>
    <xf numFmtId="0" fontId="12" fillId="0" borderId="0" xfId="0" applyFont="1" applyAlignment="1" applyProtection="1">
      <alignment horizontal="center"/>
      <protection locked="0"/>
    </xf>
    <xf numFmtId="0" fontId="12" fillId="0" borderId="0" xfId="0" applyFont="1" applyBorder="1" applyAlignment="1" applyProtection="1">
      <alignment horizontal="center" vertical="center"/>
      <protection locked="0"/>
    </xf>
    <xf numFmtId="0" fontId="12" fillId="0" borderId="0" xfId="0" applyFont="1" applyBorder="1" applyProtection="1">
      <protection locked="0"/>
    </xf>
    <xf numFmtId="0" fontId="11" fillId="0" borderId="0" xfId="0" applyFont="1" applyAlignment="1" applyProtection="1">
      <alignment vertical="top" wrapText="1"/>
      <protection locked="0"/>
    </xf>
    <xf numFmtId="3" fontId="0" fillId="0" borderId="0" xfId="0" applyNumberFormat="1" applyBorder="1" applyProtection="1"/>
    <xf numFmtId="14" fontId="0" fillId="0" borderId="0" xfId="0" applyNumberFormat="1" applyBorder="1" applyProtection="1"/>
    <xf numFmtId="49" fontId="0" fillId="0" borderId="0" xfId="0" applyNumberFormat="1" applyAlignment="1" applyProtection="1">
      <alignment vertical="center"/>
    </xf>
    <xf numFmtId="14" fontId="0" fillId="0" borderId="0" xfId="0" applyNumberFormat="1" applyAlignment="1" applyProtection="1">
      <alignment horizontal="center" vertical="center"/>
    </xf>
    <xf numFmtId="0" fontId="0" fillId="0" borderId="0" xfId="0" applyAlignment="1" applyProtection="1">
      <alignment horizontal="center" vertical="center"/>
    </xf>
    <xf numFmtId="0" fontId="0" fillId="0" borderId="0" xfId="0" applyAlignment="1" applyProtection="1">
      <alignment horizontal="center"/>
    </xf>
    <xf numFmtId="15" fontId="0" fillId="0" borderId="15" xfId="0" applyNumberFormat="1" applyBorder="1" applyAlignment="1" applyProtection="1">
      <alignment vertical="center"/>
    </xf>
    <xf numFmtId="0" fontId="1" fillId="0" borderId="9" xfId="0" applyFont="1" applyBorder="1" applyAlignment="1" applyProtection="1">
      <alignment horizontal="center" vertical="center"/>
    </xf>
    <xf numFmtId="0" fontId="0" fillId="0" borderId="9" xfId="0" applyBorder="1" applyAlignment="1" applyProtection="1">
      <alignment horizontal="center" vertical="center"/>
    </xf>
    <xf numFmtId="15" fontId="0" fillId="0" borderId="15" xfId="0" applyNumberFormat="1" applyBorder="1" applyProtection="1"/>
    <xf numFmtId="15" fontId="0" fillId="0" borderId="63" xfId="0" applyNumberFormat="1" applyBorder="1" applyProtection="1"/>
    <xf numFmtId="0" fontId="1" fillId="0" borderId="17" xfId="0" applyFont="1" applyBorder="1" applyAlignment="1" applyProtection="1">
      <alignment horizontal="center" vertical="center"/>
    </xf>
    <xf numFmtId="0" fontId="0" fillId="0" borderId="17" xfId="0" applyBorder="1" applyAlignment="1" applyProtection="1">
      <alignment horizontal="center" vertical="center"/>
    </xf>
    <xf numFmtId="0" fontId="0" fillId="0" borderId="0" xfId="0" applyBorder="1" applyAlignment="1" applyProtection="1">
      <alignment horizontal="center" vertical="center"/>
    </xf>
    <xf numFmtId="0" fontId="4" fillId="0" borderId="29" xfId="0" applyFont="1" applyBorder="1" applyAlignment="1" applyProtection="1">
      <protection locked="0"/>
    </xf>
    <xf numFmtId="0" fontId="4" fillId="0" borderId="9" xfId="0" applyFont="1" applyBorder="1" applyAlignment="1" applyProtection="1">
      <protection locked="0"/>
    </xf>
    <xf numFmtId="49" fontId="8" fillId="0" borderId="36" xfId="0" applyNumberFormat="1" applyFont="1" applyBorder="1" applyAlignment="1" applyProtection="1">
      <alignment horizontal="center"/>
      <protection locked="0"/>
    </xf>
    <xf numFmtId="0" fontId="8" fillId="0" borderId="36" xfId="0" applyFont="1" applyBorder="1" applyAlignment="1" applyProtection="1">
      <alignment horizontal="center"/>
      <protection locked="0"/>
    </xf>
    <xf numFmtId="49" fontId="10" fillId="0" borderId="36" xfId="0" applyNumberFormat="1" applyFont="1" applyBorder="1" applyAlignment="1" applyProtection="1">
      <alignment horizontal="center"/>
      <protection locked="0"/>
    </xf>
    <xf numFmtId="0" fontId="4" fillId="0" borderId="19" xfId="0" applyFont="1" applyBorder="1" applyAlignment="1" applyProtection="1">
      <alignment horizontal="left" vertical="center"/>
      <protection locked="0"/>
    </xf>
    <xf numFmtId="0" fontId="0" fillId="0" borderId="19" xfId="0" applyBorder="1" applyAlignment="1" applyProtection="1">
      <alignment vertical="center"/>
      <protection locked="0"/>
    </xf>
    <xf numFmtId="0" fontId="4" fillId="0" borderId="32" xfId="0" applyFont="1" applyBorder="1" applyAlignment="1" applyProtection="1">
      <alignment vertical="center"/>
      <protection locked="0"/>
    </xf>
    <xf numFmtId="0" fontId="0" fillId="0" borderId="21" xfId="0" applyBorder="1" applyAlignment="1" applyProtection="1">
      <alignment horizontal="left" vertical="center"/>
      <protection locked="0"/>
    </xf>
    <xf numFmtId="49" fontId="4" fillId="0" borderId="21" xfId="0" applyNumberFormat="1" applyFont="1" applyBorder="1" applyAlignment="1" applyProtection="1">
      <alignment horizontal="center" vertical="center"/>
      <protection locked="0"/>
    </xf>
    <xf numFmtId="20" fontId="4" fillId="0" borderId="0" xfId="0" applyNumberFormat="1" applyFont="1" applyBorder="1" applyAlignment="1" applyProtection="1">
      <alignment horizontal="left" vertical="center"/>
      <protection locked="0"/>
    </xf>
    <xf numFmtId="20" fontId="4" fillId="0" borderId="8" xfId="0" applyNumberFormat="1" applyFont="1" applyBorder="1" applyAlignment="1" applyProtection="1">
      <alignment horizontal="left" vertical="center"/>
      <protection locked="0"/>
    </xf>
    <xf numFmtId="0" fontId="4" fillId="0" borderId="10" xfId="0" applyFont="1" applyBorder="1" applyAlignment="1" applyProtection="1">
      <alignment vertical="center"/>
      <protection locked="0"/>
    </xf>
    <xf numFmtId="0" fontId="7" fillId="0" borderId="0" xfId="0" applyFont="1" applyBorder="1" applyAlignment="1" applyProtection="1">
      <alignment horizontal="center" vertical="center"/>
      <protection locked="0"/>
    </xf>
    <xf numFmtId="0" fontId="4" fillId="0" borderId="11" xfId="0" applyFont="1" applyBorder="1" applyAlignment="1" applyProtection="1">
      <alignment horizontal="center"/>
      <protection locked="0"/>
    </xf>
    <xf numFmtId="0" fontId="4" fillId="6" borderId="11" xfId="0" applyFont="1" applyFill="1" applyBorder="1" applyAlignment="1" applyProtection="1">
      <alignment horizontal="center"/>
      <protection locked="0"/>
    </xf>
    <xf numFmtId="0" fontId="4" fillId="0" borderId="16" xfId="0" applyFont="1" applyBorder="1" applyAlignment="1" applyProtection="1">
      <alignment horizontal="center"/>
      <protection locked="0"/>
    </xf>
    <xf numFmtId="0" fontId="4" fillId="6" borderId="16" xfId="0" applyFont="1" applyFill="1" applyBorder="1" applyAlignment="1" applyProtection="1">
      <alignment horizontal="center"/>
      <protection locked="0"/>
    </xf>
    <xf numFmtId="0" fontId="0" fillId="0" borderId="15" xfId="0" applyBorder="1" applyAlignment="1" applyProtection="1">
      <alignment horizontal="center"/>
      <protection locked="0"/>
    </xf>
    <xf numFmtId="0" fontId="12" fillId="6" borderId="9" xfId="0" applyFont="1" applyFill="1" applyBorder="1" applyAlignment="1" applyProtection="1">
      <alignment horizontal="center"/>
      <protection locked="0"/>
    </xf>
    <xf numFmtId="0" fontId="4" fillId="0" borderId="0" xfId="0" applyFont="1" applyBorder="1" applyAlignment="1" applyProtection="1">
      <alignment horizontal="center"/>
      <protection locked="0"/>
    </xf>
    <xf numFmtId="0" fontId="4" fillId="0" borderId="22" xfId="0" applyFont="1" applyBorder="1" applyAlignment="1" applyProtection="1">
      <alignment horizontal="right"/>
      <protection locked="0"/>
    </xf>
    <xf numFmtId="0" fontId="4" fillId="0" borderId="22" xfId="0" applyFont="1" applyBorder="1" applyAlignment="1" applyProtection="1">
      <alignment horizontal="center"/>
      <protection locked="0"/>
    </xf>
    <xf numFmtId="0" fontId="4" fillId="6" borderId="22" xfId="0" applyFont="1" applyFill="1" applyBorder="1" applyAlignment="1" applyProtection="1">
      <alignment horizontal="center"/>
      <protection locked="0"/>
    </xf>
    <xf numFmtId="0" fontId="4" fillId="0" borderId="56" xfId="0" applyFont="1" applyBorder="1" applyAlignment="1" applyProtection="1">
      <alignment horizontal="center" vertical="center" wrapText="1"/>
      <protection locked="0"/>
    </xf>
    <xf numFmtId="0" fontId="4" fillId="0" borderId="50" xfId="0" applyFont="1" applyBorder="1" applyAlignment="1" applyProtection="1">
      <alignment horizontal="center" vertical="center" wrapText="1"/>
      <protection locked="0"/>
    </xf>
    <xf numFmtId="0" fontId="0" fillId="0" borderId="2"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1" fillId="0" borderId="5" xfId="0" applyFont="1" applyBorder="1" applyProtection="1">
      <protection locked="0"/>
    </xf>
    <xf numFmtId="0" fontId="0" fillId="0" borderId="7" xfId="0" applyBorder="1" applyProtection="1">
      <protection locked="0"/>
    </xf>
    <xf numFmtId="0" fontId="0" fillId="0" borderId="8" xfId="0" applyBorder="1" applyProtection="1">
      <protection locked="0"/>
    </xf>
    <xf numFmtId="0" fontId="0" fillId="0" borderId="10" xfId="0" applyBorder="1" applyProtection="1">
      <protection locked="0"/>
    </xf>
    <xf numFmtId="0" fontId="8" fillId="3" borderId="16" xfId="0" applyFont="1" applyFill="1" applyBorder="1" applyAlignment="1" applyProtection="1">
      <alignment horizontal="center"/>
      <protection locked="0"/>
    </xf>
    <xf numFmtId="0" fontId="8" fillId="0" borderId="13" xfId="0" applyFont="1" applyBorder="1" applyAlignment="1" applyProtection="1">
      <alignment horizontal="center"/>
      <protection locked="0"/>
    </xf>
    <xf numFmtId="0" fontId="8" fillId="0" borderId="14" xfId="0" applyFont="1" applyBorder="1" applyAlignment="1" applyProtection="1">
      <alignment horizontal="center"/>
      <protection locked="0"/>
    </xf>
    <xf numFmtId="0" fontId="4" fillId="0" borderId="4" xfId="0" applyFont="1" applyBorder="1" applyProtection="1">
      <protection locked="0"/>
    </xf>
    <xf numFmtId="165" fontId="4" fillId="0" borderId="11" xfId="0" applyNumberFormat="1" applyFont="1" applyBorder="1" applyProtection="1">
      <protection locked="0"/>
    </xf>
    <xf numFmtId="165" fontId="4" fillId="0" borderId="39" xfId="0" applyNumberFormat="1" applyFont="1" applyBorder="1" applyProtection="1">
      <protection locked="0"/>
    </xf>
    <xf numFmtId="165" fontId="4" fillId="3" borderId="5" xfId="0" applyNumberFormat="1" applyFont="1" applyFill="1" applyBorder="1" applyProtection="1">
      <protection locked="0"/>
    </xf>
    <xf numFmtId="165" fontId="0" fillId="0" borderId="0" xfId="0" applyNumberFormat="1" applyBorder="1" applyProtection="1">
      <protection locked="0"/>
    </xf>
    <xf numFmtId="0" fontId="4" fillId="0" borderId="5" xfId="0" applyFont="1" applyBorder="1" applyProtection="1">
      <protection locked="0"/>
    </xf>
    <xf numFmtId="0" fontId="4" fillId="0" borderId="6" xfId="0" applyFont="1" applyBorder="1" applyProtection="1">
      <protection locked="0"/>
    </xf>
    <xf numFmtId="165" fontId="4" fillId="0" borderId="38" xfId="0" applyNumberFormat="1" applyFont="1" applyBorder="1" applyProtection="1">
      <protection locked="0"/>
    </xf>
    <xf numFmtId="165" fontId="4" fillId="3" borderId="0" xfId="0" applyNumberFormat="1" applyFont="1" applyFill="1" applyBorder="1" applyProtection="1">
      <protection locked="0"/>
    </xf>
    <xf numFmtId="0" fontId="4" fillId="0" borderId="7" xfId="0" applyFont="1" applyBorder="1" applyProtection="1">
      <protection locked="0"/>
    </xf>
    <xf numFmtId="0" fontId="4" fillId="0" borderId="8" xfId="0" applyFont="1" applyBorder="1" applyProtection="1">
      <protection locked="0"/>
    </xf>
    <xf numFmtId="165" fontId="4" fillId="0" borderId="9" xfId="0" applyNumberFormat="1" applyFont="1" applyFill="1" applyBorder="1" applyProtection="1">
      <protection locked="0"/>
    </xf>
    <xf numFmtId="165" fontId="4" fillId="0" borderId="0" xfId="0" applyNumberFormat="1" applyFont="1" applyBorder="1" applyProtection="1">
      <protection locked="0"/>
    </xf>
    <xf numFmtId="0" fontId="5" fillId="0" borderId="2" xfId="0" applyFont="1" applyBorder="1" applyAlignment="1" applyProtection="1">
      <alignment horizontal="left" vertical="top"/>
      <protection locked="0"/>
    </xf>
    <xf numFmtId="0" fontId="5" fillId="0" borderId="3" xfId="0" applyFont="1" applyBorder="1" applyAlignment="1" applyProtection="1">
      <alignment horizontal="left"/>
      <protection locked="0"/>
    </xf>
    <xf numFmtId="0" fontId="5" fillId="0" borderId="4" xfId="0" applyFont="1" applyBorder="1" applyAlignment="1" applyProtection="1">
      <alignment horizontal="left"/>
      <protection locked="0"/>
    </xf>
    <xf numFmtId="0" fontId="5" fillId="0" borderId="5" xfId="0" applyFont="1" applyBorder="1" applyAlignment="1" applyProtection="1">
      <alignment horizontal="left"/>
      <protection locked="0"/>
    </xf>
    <xf numFmtId="0" fontId="5" fillId="0" borderId="0" xfId="0" applyFont="1" applyBorder="1" applyAlignment="1" applyProtection="1">
      <alignment horizontal="left" vertical="top"/>
      <protection locked="0"/>
    </xf>
    <xf numFmtId="0" fontId="5" fillId="0" borderId="6" xfId="0" applyFont="1" applyBorder="1" applyAlignment="1" applyProtection="1">
      <alignment horizontal="left" vertical="top"/>
      <protection locked="0"/>
    </xf>
    <xf numFmtId="165" fontId="4" fillId="0" borderId="0" xfId="0" applyNumberFormat="1" applyFont="1" applyBorder="1" applyAlignment="1" applyProtection="1">
      <alignment horizontal="center"/>
      <protection locked="0"/>
    </xf>
    <xf numFmtId="0" fontId="5" fillId="0" borderId="0" xfId="0" applyFont="1" applyBorder="1" applyAlignment="1" applyProtection="1">
      <alignment horizontal="left"/>
      <protection locked="0"/>
    </xf>
    <xf numFmtId="0" fontId="5" fillId="0" borderId="6" xfId="0" applyFont="1" applyBorder="1" applyAlignment="1" applyProtection="1">
      <alignment horizontal="left"/>
      <protection locked="0"/>
    </xf>
    <xf numFmtId="0" fontId="0" fillId="0" borderId="0" xfId="0" applyFill="1" applyBorder="1" applyProtection="1">
      <protection locked="0"/>
    </xf>
    <xf numFmtId="165" fontId="9" fillId="0" borderId="0" xfId="0" applyNumberFormat="1" applyFont="1" applyBorder="1" applyAlignment="1" applyProtection="1">
      <alignment horizontal="center"/>
      <protection locked="0"/>
    </xf>
    <xf numFmtId="165" fontId="4" fillId="0" borderId="3" xfId="0" applyNumberFormat="1" applyFont="1" applyBorder="1" applyProtection="1">
      <protection locked="0"/>
    </xf>
    <xf numFmtId="0" fontId="11" fillId="0" borderId="0" xfId="0" applyFont="1" applyBorder="1" applyProtection="1">
      <protection locked="0"/>
    </xf>
    <xf numFmtId="0" fontId="4" fillId="0" borderId="0" xfId="0" applyFont="1" applyAlignment="1" applyProtection="1">
      <alignment horizontal="left" vertical="center"/>
      <protection locked="0"/>
    </xf>
    <xf numFmtId="0" fontId="13" fillId="0" borderId="3" xfId="0" applyFont="1" applyBorder="1" applyAlignment="1" applyProtection="1">
      <alignment horizontal="left"/>
      <protection locked="0"/>
    </xf>
    <xf numFmtId="0" fontId="5" fillId="0" borderId="0" xfId="0" applyFont="1" applyAlignment="1" applyProtection="1"/>
    <xf numFmtId="0" fontId="4" fillId="0" borderId="18" xfId="0" applyFont="1" applyBorder="1" applyAlignment="1" applyProtection="1">
      <alignment vertical="center"/>
    </xf>
    <xf numFmtId="0" fontId="8" fillId="0" borderId="5" xfId="0" applyFont="1" applyBorder="1" applyAlignment="1" applyProtection="1">
      <alignment vertical="center"/>
    </xf>
    <xf numFmtId="0" fontId="4" fillId="0" borderId="19" xfId="0" applyFont="1" applyBorder="1" applyAlignment="1" applyProtection="1">
      <alignment vertical="center"/>
    </xf>
    <xf numFmtId="0" fontId="4" fillId="0" borderId="0" xfId="0" applyFont="1" applyBorder="1" applyAlignment="1" applyProtection="1">
      <alignment vertical="center"/>
    </xf>
    <xf numFmtId="0" fontId="4" fillId="0" borderId="20" xfId="0" applyFont="1" applyBorder="1" applyAlignment="1" applyProtection="1">
      <alignment vertical="center"/>
    </xf>
    <xf numFmtId="49" fontId="4" fillId="0" borderId="6" xfId="0" applyNumberFormat="1" applyFont="1" applyBorder="1" applyAlignment="1" applyProtection="1">
      <alignment horizontal="center" vertical="center"/>
    </xf>
    <xf numFmtId="0" fontId="4" fillId="0" borderId="20" xfId="0" applyFont="1" applyBorder="1" applyAlignment="1" applyProtection="1">
      <alignment horizontal="center" vertical="center"/>
    </xf>
    <xf numFmtId="49" fontId="4" fillId="0" borderId="27" xfId="0" applyNumberFormat="1" applyFont="1" applyBorder="1" applyAlignment="1" applyProtection="1">
      <alignment horizontal="center" vertical="center"/>
    </xf>
    <xf numFmtId="0" fontId="4" fillId="0" borderId="35" xfId="0" applyFont="1" applyBorder="1" applyAlignment="1" applyProtection="1">
      <alignment horizontal="center" vertical="center"/>
    </xf>
    <xf numFmtId="9" fontId="4" fillId="0" borderId="21" xfId="0" applyNumberFormat="1" applyFont="1" applyBorder="1" applyAlignment="1" applyProtection="1">
      <alignment horizontal="center" vertical="center"/>
    </xf>
    <xf numFmtId="0" fontId="4" fillId="0" borderId="18" xfId="0" applyFont="1" applyBorder="1" applyAlignment="1" applyProtection="1">
      <alignment horizontal="left" vertical="center"/>
    </xf>
    <xf numFmtId="0" fontId="4" fillId="0" borderId="20" xfId="0" applyFont="1" applyBorder="1" applyAlignment="1" applyProtection="1">
      <alignment horizontal="left" vertical="center"/>
    </xf>
    <xf numFmtId="0" fontId="4" fillId="0" borderId="5" xfId="0" applyFont="1" applyBorder="1" applyAlignment="1" applyProtection="1">
      <alignment vertical="center"/>
    </xf>
    <xf numFmtId="0" fontId="4" fillId="0" borderId="7" xfId="0" applyFont="1" applyBorder="1" applyAlignment="1" applyProtection="1">
      <alignment vertical="center"/>
    </xf>
    <xf numFmtId="0" fontId="4" fillId="0" borderId="27" xfId="0" applyFont="1" applyBorder="1" applyAlignment="1" applyProtection="1">
      <alignment horizontal="left" vertical="center"/>
    </xf>
    <xf numFmtId="14" fontId="4" fillId="0" borderId="0" xfId="0" applyNumberFormat="1" applyFont="1" applyBorder="1" applyAlignment="1" applyProtection="1">
      <alignment vertical="center"/>
    </xf>
    <xf numFmtId="14" fontId="4" fillId="0" borderId="8" xfId="0" applyNumberFormat="1" applyFont="1" applyBorder="1" applyAlignment="1" applyProtection="1">
      <alignment vertical="center"/>
    </xf>
    <xf numFmtId="0" fontId="4" fillId="0" borderId="0" xfId="0" applyFont="1" applyBorder="1" applyAlignment="1" applyProtection="1">
      <alignment horizontal="left" vertical="center"/>
    </xf>
    <xf numFmtId="0" fontId="12" fillId="0" borderId="9" xfId="0" applyFont="1" applyBorder="1" applyAlignment="1" applyProtection="1">
      <alignment horizontal="center"/>
    </xf>
    <xf numFmtId="15" fontId="12" fillId="0" borderId="9" xfId="0" applyNumberFormat="1" applyFont="1" applyBorder="1" applyAlignment="1" applyProtection="1">
      <alignment horizontal="center"/>
    </xf>
    <xf numFmtId="0" fontId="4" fillId="0" borderId="22" xfId="0" applyFont="1" applyBorder="1" applyAlignment="1" applyProtection="1">
      <alignment horizontal="center"/>
    </xf>
    <xf numFmtId="15" fontId="12" fillId="0" borderId="23" xfId="0" applyNumberFormat="1" applyFont="1" applyBorder="1" applyAlignment="1" applyProtection="1">
      <alignment horizontal="center"/>
    </xf>
    <xf numFmtId="165" fontId="4" fillId="0" borderId="39" xfId="0" applyNumberFormat="1" applyFont="1" applyBorder="1" applyProtection="1"/>
    <xf numFmtId="165" fontId="4" fillId="7" borderId="0" xfId="0" applyNumberFormat="1" applyFont="1" applyFill="1" applyBorder="1" applyProtection="1"/>
    <xf numFmtId="165" fontId="4" fillId="0" borderId="13" xfId="0" applyNumberFormat="1" applyFont="1" applyBorder="1" applyProtection="1"/>
    <xf numFmtId="0" fontId="4" fillId="0" borderId="38" xfId="0" applyFont="1" applyBorder="1" applyAlignment="1" applyProtection="1">
      <alignment horizontal="center"/>
    </xf>
    <xf numFmtId="0" fontId="4" fillId="0" borderId="16" xfId="0" applyFont="1" applyBorder="1" applyAlignment="1" applyProtection="1">
      <alignment horizontal="center"/>
    </xf>
    <xf numFmtId="0" fontId="4" fillId="0" borderId="9" xfId="0" applyFont="1" applyFill="1" applyBorder="1" applyAlignment="1" applyProtection="1">
      <alignment horizontal="center"/>
    </xf>
    <xf numFmtId="0" fontId="18" fillId="0" borderId="0" xfId="0" applyFont="1" applyProtection="1">
      <protection locked="0"/>
    </xf>
    <xf numFmtId="0" fontId="6" fillId="0" borderId="0" xfId="0" applyFont="1" applyProtection="1">
      <protection locked="0"/>
    </xf>
    <xf numFmtId="0" fontId="18" fillId="9" borderId="0" xfId="0" applyFont="1" applyFill="1" applyProtection="1">
      <protection locked="0"/>
    </xf>
    <xf numFmtId="49" fontId="18" fillId="0" borderId="0" xfId="0" applyNumberFormat="1" applyFont="1" applyAlignment="1" applyProtection="1">
      <alignment horizontal="left"/>
      <protection locked="0"/>
    </xf>
    <xf numFmtId="0" fontId="18" fillId="0" borderId="0" xfId="0" applyFont="1" applyAlignment="1" applyProtection="1">
      <alignment horizontal="left"/>
      <protection locked="0"/>
    </xf>
    <xf numFmtId="3" fontId="18"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8" fillId="9" borderId="9" xfId="0" applyFont="1" applyFill="1" applyBorder="1" applyAlignment="1" applyProtection="1">
      <alignment horizontal="center"/>
      <protection locked="0"/>
    </xf>
    <xf numFmtId="0" fontId="18" fillId="0" borderId="0" xfId="0" applyFont="1" applyAlignment="1" applyProtection="1">
      <alignment horizontal="right"/>
      <protection locked="0"/>
    </xf>
    <xf numFmtId="0" fontId="5" fillId="0" borderId="0" xfId="0" applyFont="1" applyProtection="1">
      <protection locked="0"/>
    </xf>
    <xf numFmtId="0" fontId="14" fillId="0" borderId="0" xfId="0" applyFont="1" applyProtection="1">
      <protection locked="0"/>
    </xf>
    <xf numFmtId="14" fontId="6" fillId="0" borderId="0" xfId="0" applyNumberFormat="1" applyFont="1" applyBorder="1" applyAlignment="1" applyProtection="1">
      <alignment horizontal="center"/>
      <protection locked="0"/>
    </xf>
    <xf numFmtId="0" fontId="6" fillId="0" borderId="0" xfId="0"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3" fontId="18" fillId="0" borderId="0" xfId="0" applyNumberFormat="1" applyFont="1" applyAlignment="1" applyProtection="1">
      <alignment horizontal="left"/>
    </xf>
    <xf numFmtId="49" fontId="18" fillId="0" borderId="9" xfId="0" applyNumberFormat="1" applyFont="1" applyBorder="1" applyAlignment="1" applyProtection="1">
      <alignment horizontal="left"/>
    </xf>
    <xf numFmtId="4" fontId="18" fillId="0" borderId="9" xfId="0" applyNumberFormat="1" applyFont="1" applyBorder="1" applyAlignment="1" applyProtection="1">
      <alignment horizontal="right"/>
    </xf>
    <xf numFmtId="4" fontId="18" fillId="0" borderId="24" xfId="0" applyNumberFormat="1" applyFont="1" applyBorder="1" applyAlignment="1" applyProtection="1">
      <alignment horizontal="right"/>
    </xf>
    <xf numFmtId="4" fontId="18" fillId="0" borderId="13" xfId="0" applyNumberFormat="1" applyFont="1" applyBorder="1" applyAlignment="1" applyProtection="1">
      <alignment horizontal="right"/>
    </xf>
    <xf numFmtId="0" fontId="18" fillId="0" borderId="0" xfId="0" applyFont="1" applyProtection="1"/>
    <xf numFmtId="14" fontId="18" fillId="0" borderId="0" xfId="0" applyNumberFormat="1" applyFont="1" applyProtection="1"/>
    <xf numFmtId="0" fontId="18" fillId="0" borderId="0" xfId="0" applyFont="1" applyAlignment="1" applyProtection="1">
      <alignment horizontal="right"/>
    </xf>
    <xf numFmtId="0" fontId="6" fillId="0" borderId="0" xfId="0" applyFont="1" applyAlignment="1" applyProtection="1">
      <alignment vertical="center"/>
      <protection locked="0"/>
    </xf>
    <xf numFmtId="0" fontId="1" fillId="0" borderId="5" xfId="0" applyFont="1" applyBorder="1" applyAlignment="1" applyProtection="1">
      <alignment vertical="center"/>
      <protection locked="0"/>
    </xf>
    <xf numFmtId="0" fontId="1" fillId="0" borderId="0" xfId="0" applyFont="1" applyBorder="1" applyAlignment="1" applyProtection="1">
      <alignment vertical="center"/>
      <protection locked="0"/>
    </xf>
    <xf numFmtId="0" fontId="1" fillId="0" borderId="6" xfId="0" applyFont="1" applyBorder="1" applyAlignment="1" applyProtection="1">
      <alignment vertical="center"/>
      <protection locked="0"/>
    </xf>
    <xf numFmtId="0" fontId="6" fillId="0" borderId="7" xfId="0" applyFont="1" applyBorder="1" applyAlignment="1" applyProtection="1">
      <alignment vertical="center"/>
      <protection locked="0"/>
    </xf>
    <xf numFmtId="0" fontId="1" fillId="0" borderId="8" xfId="0" applyFont="1" applyBorder="1" applyAlignment="1" applyProtection="1">
      <alignment vertical="center"/>
      <protection locked="0"/>
    </xf>
    <xf numFmtId="0" fontId="6" fillId="0" borderId="8" xfId="0" applyFont="1" applyBorder="1" applyAlignment="1" applyProtection="1">
      <alignment vertical="center"/>
      <protection locked="0"/>
    </xf>
    <xf numFmtId="0" fontId="1" fillId="0" borderId="10" xfId="0" applyFont="1" applyBorder="1" applyAlignment="1" applyProtection="1">
      <alignment vertical="center"/>
      <protection locked="0"/>
    </xf>
    <xf numFmtId="0" fontId="8" fillId="0" borderId="0" xfId="0" applyFont="1" applyBorder="1" applyAlignment="1" applyProtection="1">
      <alignment horizontal="left" vertical="center"/>
      <protection locked="0"/>
    </xf>
    <xf numFmtId="0" fontId="0" fillId="0" borderId="0" xfId="0" applyBorder="1" applyAlignment="1" applyProtection="1">
      <alignment horizontal="left" vertical="center"/>
      <protection locked="0"/>
    </xf>
    <xf numFmtId="0" fontId="7" fillId="0" borderId="0" xfId="0" applyFont="1" applyBorder="1" applyProtection="1">
      <protection locked="0"/>
    </xf>
    <xf numFmtId="0" fontId="6" fillId="0" borderId="0" xfId="0" applyFont="1" applyBorder="1" applyProtection="1">
      <protection locked="0"/>
    </xf>
    <xf numFmtId="0" fontId="7" fillId="0" borderId="0" xfId="0" applyFont="1" applyBorder="1" applyAlignment="1" applyProtection="1">
      <alignment vertical="center"/>
      <protection locked="0"/>
    </xf>
    <xf numFmtId="0" fontId="7" fillId="0" borderId="0" xfId="0" applyFont="1" applyBorder="1" applyAlignment="1" applyProtection="1">
      <alignment horizontal="left" vertical="center"/>
      <protection locked="0"/>
    </xf>
    <xf numFmtId="49" fontId="6" fillId="0" borderId="0" xfId="0" applyNumberFormat="1" applyFont="1" applyBorder="1" applyAlignment="1" applyProtection="1">
      <alignment horizontal="center" vertical="center"/>
      <protection locked="0"/>
    </xf>
    <xf numFmtId="0" fontId="0" fillId="0" borderId="2" xfId="0" applyBorder="1" applyAlignment="1" applyProtection="1">
      <alignment horizontal="left" vertical="center"/>
      <protection locked="0"/>
    </xf>
    <xf numFmtId="0" fontId="0" fillId="0" borderId="3" xfId="0" applyBorder="1" applyAlignment="1" applyProtection="1">
      <alignment horizontal="left" vertical="center"/>
      <protection locked="0"/>
    </xf>
    <xf numFmtId="0" fontId="21" fillId="0" borderId="3" xfId="0" applyFont="1" applyBorder="1" applyAlignment="1" applyProtection="1">
      <alignment horizontal="center" vertical="center"/>
      <protection locked="0"/>
    </xf>
    <xf numFmtId="0" fontId="21" fillId="0" borderId="4" xfId="0" applyFont="1" applyBorder="1" applyAlignment="1" applyProtection="1">
      <alignment horizontal="center" vertical="center"/>
      <protection locked="0"/>
    </xf>
    <xf numFmtId="0" fontId="10" fillId="0" borderId="0" xfId="0" applyFont="1" applyAlignment="1" applyProtection="1">
      <alignment vertical="center"/>
      <protection locked="0"/>
    </xf>
    <xf numFmtId="3" fontId="6" fillId="0" borderId="8" xfId="0" applyNumberFormat="1" applyFont="1" applyBorder="1" applyAlignment="1" applyProtection="1">
      <alignment vertical="center"/>
    </xf>
    <xf numFmtId="14" fontId="6" fillId="0" borderId="8" xfId="0" applyNumberFormat="1" applyFont="1" applyBorder="1" applyAlignment="1" applyProtection="1">
      <alignment vertical="center"/>
    </xf>
    <xf numFmtId="0" fontId="6" fillId="0" borderId="0" xfId="0" applyFont="1" applyBorder="1" applyProtection="1"/>
    <xf numFmtId="14" fontId="6" fillId="0" borderId="0" xfId="0" applyNumberFormat="1" applyFont="1" applyBorder="1" applyAlignment="1" applyProtection="1">
      <alignment horizontal="center" vertical="center"/>
    </xf>
    <xf numFmtId="49" fontId="6" fillId="0" borderId="0" xfId="0" applyNumberFormat="1" applyFont="1" applyBorder="1" applyAlignment="1" applyProtection="1">
      <alignment vertical="center"/>
    </xf>
    <xf numFmtId="0" fontId="6" fillId="0" borderId="0" xfId="0" applyFont="1" applyAlignment="1" applyProtection="1">
      <alignment horizontal="center" vertical="center"/>
      <protection locked="0"/>
    </xf>
    <xf numFmtId="0" fontId="4" fillId="0" borderId="0" xfId="0" applyFont="1" applyAlignment="1" applyProtection="1">
      <alignment horizontal="center" wrapText="1"/>
      <protection locked="0"/>
    </xf>
    <xf numFmtId="0" fontId="4" fillId="0" borderId="0" xfId="0" applyFont="1" applyAlignment="1" applyProtection="1">
      <alignment horizontal="center"/>
      <protection locked="0"/>
    </xf>
    <xf numFmtId="0" fontId="4" fillId="4" borderId="16" xfId="0" applyFont="1" applyFill="1" applyBorder="1" applyAlignment="1" applyProtection="1">
      <alignment horizontal="center"/>
      <protection locked="0"/>
    </xf>
    <xf numFmtId="0" fontId="12" fillId="0" borderId="0" xfId="0" applyNumberFormat="1" applyFont="1" applyProtection="1">
      <protection locked="0"/>
    </xf>
    <xf numFmtId="0" fontId="0" fillId="0" borderId="29" xfId="0" applyFill="1" applyBorder="1" applyProtection="1">
      <protection locked="0"/>
    </xf>
    <xf numFmtId="0" fontId="4" fillId="0" borderId="45" xfId="0" applyFont="1" applyFill="1" applyBorder="1" applyAlignment="1" applyProtection="1">
      <alignment horizontal="center"/>
      <protection locked="0"/>
    </xf>
    <xf numFmtId="49" fontId="4" fillId="0" borderId="56" xfId="0" applyNumberFormat="1" applyFont="1" applyBorder="1" applyAlignment="1" applyProtection="1">
      <alignment horizontal="center"/>
      <protection locked="0"/>
    </xf>
    <xf numFmtId="49" fontId="6" fillId="0" borderId="62" xfId="0" applyNumberFormat="1" applyFont="1" applyBorder="1" applyAlignment="1" applyProtection="1">
      <alignment horizontal="center" vertical="center" wrapText="1"/>
      <protection locked="0"/>
    </xf>
    <xf numFmtId="49" fontId="6" fillId="0" borderId="67" xfId="0" applyNumberFormat="1" applyFont="1" applyBorder="1" applyAlignment="1" applyProtection="1">
      <alignment horizontal="center" vertical="center" wrapText="1"/>
      <protection locked="0"/>
    </xf>
    <xf numFmtId="49" fontId="4" fillId="0" borderId="62" xfId="0" applyNumberFormat="1" applyFont="1" applyBorder="1" applyAlignment="1" applyProtection="1">
      <alignment horizontal="center" wrapText="1"/>
      <protection locked="0"/>
    </xf>
    <xf numFmtId="49" fontId="4" fillId="0" borderId="42" xfId="0" applyNumberFormat="1" applyFont="1" applyBorder="1" applyAlignment="1" applyProtection="1">
      <alignment horizontal="center" wrapText="1"/>
      <protection locked="0"/>
    </xf>
    <xf numFmtId="0" fontId="4" fillId="0" borderId="42" xfId="0" applyFont="1" applyBorder="1" applyProtection="1">
      <protection locked="0"/>
    </xf>
    <xf numFmtId="49" fontId="4" fillId="0" borderId="42" xfId="0" applyNumberFormat="1" applyFont="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8" borderId="42" xfId="0" applyFont="1" applyFill="1" applyBorder="1" applyProtection="1">
      <protection locked="0"/>
    </xf>
    <xf numFmtId="4" fontId="4" fillId="0" borderId="44" xfId="0" applyNumberFormat="1" applyFont="1" applyBorder="1" applyAlignment="1" applyProtection="1">
      <alignment horizontal="center"/>
      <protection locked="0"/>
    </xf>
    <xf numFmtId="49" fontId="4" fillId="0" borderId="17" xfId="0" applyNumberFormat="1" applyFont="1" applyBorder="1" applyAlignment="1" applyProtection="1">
      <alignment wrapText="1"/>
      <protection locked="0"/>
    </xf>
    <xf numFmtId="0" fontId="6" fillId="13" borderId="13" xfId="0" applyFont="1" applyFill="1" applyBorder="1" applyAlignment="1" applyProtection="1">
      <alignment vertical="center"/>
      <protection locked="0"/>
    </xf>
    <xf numFmtId="0" fontId="20" fillId="0" borderId="0" xfId="0" applyFont="1" applyAlignment="1" applyProtection="1">
      <alignment horizontal="left" vertical="center"/>
      <protection locked="0"/>
    </xf>
    <xf numFmtId="0" fontId="6" fillId="10" borderId="13" xfId="0" applyFont="1" applyFill="1" applyBorder="1" applyAlignment="1" applyProtection="1">
      <alignment vertical="center"/>
      <protection locked="0"/>
    </xf>
    <xf numFmtId="14" fontId="20" fillId="0" borderId="0" xfId="0" applyNumberFormat="1" applyFont="1" applyBorder="1" applyAlignment="1" applyProtection="1">
      <alignment horizontal="left" vertical="center"/>
      <protection locked="0"/>
    </xf>
    <xf numFmtId="0" fontId="6" fillId="0" borderId="0" xfId="0" applyFont="1" applyBorder="1" applyAlignment="1" applyProtection="1">
      <alignment horizontal="left" vertical="center"/>
      <protection locked="0"/>
    </xf>
    <xf numFmtId="166" fontId="0" fillId="5" borderId="31" xfId="0" applyNumberFormat="1" applyFill="1" applyBorder="1" applyProtection="1"/>
    <xf numFmtId="166" fontId="0" fillId="0" borderId="66" xfId="0" applyNumberFormat="1" applyBorder="1" applyAlignment="1" applyProtection="1">
      <alignment horizontal="center"/>
    </xf>
    <xf numFmtId="0" fontId="0" fillId="0" borderId="30" xfId="0" applyFill="1" applyBorder="1" applyProtection="1"/>
    <xf numFmtId="166" fontId="0" fillId="0" borderId="35" xfId="0" applyNumberFormat="1" applyBorder="1" applyAlignment="1" applyProtection="1">
      <alignment horizontal="center"/>
    </xf>
    <xf numFmtId="166" fontId="0" fillId="0" borderId="30" xfId="0" applyNumberFormat="1" applyFill="1" applyBorder="1" applyProtection="1"/>
    <xf numFmtId="0" fontId="0" fillId="0" borderId="29" xfId="0" applyFill="1" applyBorder="1" applyProtection="1"/>
    <xf numFmtId="165" fontId="4" fillId="0" borderId="61" xfId="0" applyNumberFormat="1" applyFont="1" applyBorder="1" applyAlignment="1" applyProtection="1">
      <alignment horizontal="center"/>
    </xf>
    <xf numFmtId="3" fontId="4" fillId="10" borderId="17" xfId="2" applyNumberFormat="1" applyFont="1" applyFill="1" applyBorder="1" applyAlignment="1" applyProtection="1">
      <alignment horizontal="center" vertical="center"/>
      <protection locked="0"/>
    </xf>
    <xf numFmtId="49" fontId="4" fillId="13" borderId="23" xfId="0" applyNumberFormat="1" applyFont="1" applyFill="1" applyBorder="1" applyAlignment="1" applyProtection="1">
      <alignment horizontal="center" vertical="center"/>
      <protection locked="0"/>
    </xf>
    <xf numFmtId="49" fontId="4" fillId="10" borderId="0" xfId="0" applyNumberFormat="1" applyFont="1" applyFill="1" applyBorder="1" applyAlignment="1" applyProtection="1">
      <alignment horizontal="right" vertical="center"/>
      <protection locked="0"/>
    </xf>
    <xf numFmtId="49" fontId="4" fillId="10" borderId="8" xfId="0" applyNumberFormat="1" applyFont="1" applyFill="1" applyBorder="1" applyAlignment="1" applyProtection="1">
      <alignment horizontal="right" vertical="center"/>
      <protection locked="0"/>
    </xf>
    <xf numFmtId="49" fontId="4" fillId="10" borderId="19" xfId="0" applyNumberFormat="1" applyFont="1" applyFill="1" applyBorder="1" applyAlignment="1" applyProtection="1">
      <alignment horizontal="right" vertical="center"/>
      <protection locked="0"/>
    </xf>
    <xf numFmtId="49" fontId="4" fillId="10" borderId="9" xfId="0" applyNumberFormat="1" applyFont="1" applyFill="1" applyBorder="1" applyAlignment="1" applyProtection="1">
      <alignment wrapText="1"/>
      <protection locked="0"/>
    </xf>
    <xf numFmtId="0" fontId="0" fillId="10" borderId="9" xfId="0" applyFill="1" applyBorder="1" applyAlignment="1" applyProtection="1">
      <alignment wrapText="1"/>
      <protection locked="0"/>
    </xf>
    <xf numFmtId="0" fontId="4" fillId="0" borderId="16" xfId="0" applyFont="1" applyBorder="1" applyAlignment="1" applyProtection="1">
      <alignment horizontal="center" vertical="center"/>
      <protection locked="0"/>
    </xf>
    <xf numFmtId="0" fontId="4" fillId="0" borderId="12" xfId="0" applyFont="1" applyBorder="1" applyAlignment="1" applyProtection="1">
      <alignment horizontal="center" vertical="center"/>
      <protection locked="0"/>
    </xf>
    <xf numFmtId="0" fontId="4" fillId="0" borderId="5" xfId="0" applyFont="1" applyBorder="1" applyAlignment="1" applyProtection="1">
      <alignment horizontal="center" wrapText="1"/>
      <protection locked="0"/>
    </xf>
    <xf numFmtId="0" fontId="4" fillId="0" borderId="6" xfId="0" applyFont="1" applyBorder="1" applyAlignment="1" applyProtection="1">
      <alignment horizontal="center" wrapText="1"/>
      <protection locked="0"/>
    </xf>
    <xf numFmtId="0" fontId="4" fillId="13" borderId="42" xfId="0" applyFont="1" applyFill="1" applyBorder="1" applyAlignment="1" applyProtection="1">
      <alignment horizontal="left" vertical="center"/>
      <protection locked="0"/>
    </xf>
    <xf numFmtId="0" fontId="4" fillId="13" borderId="66" xfId="0" applyFont="1" applyFill="1" applyBorder="1" applyAlignment="1" applyProtection="1">
      <alignment horizontal="left" vertical="center"/>
      <protection locked="0"/>
    </xf>
    <xf numFmtId="0" fontId="4" fillId="13" borderId="9" xfId="0" applyFont="1" applyFill="1" applyBorder="1" applyAlignment="1" applyProtection="1">
      <alignment horizontal="left" vertical="center"/>
      <protection locked="0"/>
    </xf>
    <xf numFmtId="0" fontId="4" fillId="13" borderId="35" xfId="0" applyFont="1" applyFill="1" applyBorder="1" applyAlignment="1" applyProtection="1">
      <alignment horizontal="left" vertical="center"/>
      <protection locked="0"/>
    </xf>
    <xf numFmtId="0" fontId="4" fillId="13" borderId="24" xfId="0" applyFont="1" applyFill="1" applyBorder="1" applyAlignment="1" applyProtection="1">
      <alignment horizontal="left" vertical="center"/>
      <protection locked="0"/>
    </xf>
    <xf numFmtId="0" fontId="4" fillId="10" borderId="42" xfId="0" applyFont="1" applyFill="1" applyBorder="1" applyAlignment="1" applyProtection="1">
      <alignment horizontal="left" vertical="center"/>
      <protection locked="0"/>
    </xf>
    <xf numFmtId="0" fontId="4" fillId="10" borderId="44" xfId="0" applyFont="1" applyFill="1" applyBorder="1" applyAlignment="1" applyProtection="1">
      <alignment horizontal="left" vertical="center"/>
      <protection locked="0"/>
    </xf>
    <xf numFmtId="0" fontId="4" fillId="0" borderId="5" xfId="0" applyFont="1" applyBorder="1" applyAlignment="1" applyProtection="1">
      <alignment horizontal="center" vertical="center" wrapText="1"/>
      <protection locked="0"/>
    </xf>
    <xf numFmtId="0" fontId="0" fillId="0" borderId="6" xfId="0" applyBorder="1" applyAlignment="1" applyProtection="1">
      <alignment horizontal="center" vertical="center" wrapText="1"/>
      <protection locked="0"/>
    </xf>
    <xf numFmtId="0" fontId="4" fillId="0" borderId="7" xfId="0" applyFont="1"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15" fontId="0" fillId="0" borderId="2" xfId="0" applyNumberFormat="1" applyFill="1" applyBorder="1" applyAlignment="1" applyProtection="1">
      <alignment horizontal="center" wrapText="1"/>
    </xf>
    <xf numFmtId="15" fontId="0" fillId="0" borderId="31" xfId="0" applyNumberFormat="1" applyFill="1" applyBorder="1" applyAlignment="1" applyProtection="1">
      <alignment horizontal="center" wrapText="1"/>
    </xf>
    <xf numFmtId="0" fontId="4" fillId="0" borderId="33" xfId="0" applyFont="1" applyBorder="1" applyAlignment="1" applyProtection="1">
      <alignment horizontal="left" vertical="center" wrapText="1"/>
      <protection locked="0"/>
    </xf>
    <xf numFmtId="0" fontId="0" fillId="0" borderId="9" xfId="0" applyBorder="1" applyAlignment="1" applyProtection="1">
      <alignment horizontal="left" vertical="center" wrapText="1"/>
      <protection locked="0"/>
    </xf>
    <xf numFmtId="0" fontId="4" fillId="10" borderId="3" xfId="0" applyFont="1" applyFill="1" applyBorder="1" applyAlignment="1" applyProtection="1">
      <alignment horizontal="center" vertical="center"/>
      <protection locked="0"/>
    </xf>
    <xf numFmtId="0" fontId="4" fillId="10" borderId="4" xfId="0" applyFont="1" applyFill="1" applyBorder="1" applyAlignment="1" applyProtection="1">
      <alignment horizontal="center" vertical="center"/>
      <protection locked="0"/>
    </xf>
    <xf numFmtId="4" fontId="6" fillId="0" borderId="0" xfId="0" applyNumberFormat="1" applyFont="1" applyBorder="1" applyAlignment="1" applyProtection="1">
      <alignment horizontal="left" vertical="center"/>
      <protection locked="0"/>
    </xf>
    <xf numFmtId="0" fontId="6" fillId="0" borderId="0" xfId="0" applyFont="1" applyBorder="1" applyAlignment="1" applyProtection="1">
      <alignment horizontal="center" vertical="center"/>
      <protection locked="0"/>
    </xf>
    <xf numFmtId="49" fontId="4" fillId="0" borderId="63" xfId="0" applyNumberFormat="1" applyFont="1" applyBorder="1" applyAlignment="1" applyProtection="1">
      <alignment horizontal="center" wrapText="1"/>
      <protection locked="0"/>
    </xf>
    <xf numFmtId="0" fontId="0" fillId="0" borderId="17" xfId="0" applyBorder="1" applyAlignment="1" applyProtection="1">
      <alignment horizontal="center" wrapText="1"/>
      <protection locked="0"/>
    </xf>
    <xf numFmtId="0" fontId="7" fillId="0" borderId="7"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7" fillId="0" borderId="10" xfId="0" applyFont="1" applyBorder="1" applyAlignment="1" applyProtection="1">
      <alignment horizontal="center" vertical="center"/>
      <protection locked="0"/>
    </xf>
    <xf numFmtId="14" fontId="4" fillId="10" borderId="17" xfId="2" applyNumberFormat="1" applyFont="1" applyFill="1" applyBorder="1" applyAlignment="1" applyProtection="1">
      <alignment horizontal="left" vertical="center" wrapText="1"/>
      <protection locked="0"/>
    </xf>
    <xf numFmtId="0" fontId="0" fillId="10" borderId="61" xfId="0" applyFill="1" applyBorder="1" applyAlignment="1" applyProtection="1">
      <alignment horizontal="left" vertical="center" wrapText="1"/>
      <protection locked="0"/>
    </xf>
    <xf numFmtId="9" fontId="4" fillId="0" borderId="67" xfId="2" applyFont="1"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0" fillId="0" borderId="17" xfId="0" applyBorder="1" applyAlignment="1" applyProtection="1">
      <alignment horizontal="center" vertical="center" wrapText="1"/>
      <protection locked="0"/>
    </xf>
    <xf numFmtId="15" fontId="0" fillId="0" borderId="5" xfId="0" applyNumberFormat="1" applyFill="1" applyBorder="1" applyAlignment="1" applyProtection="1">
      <alignment horizontal="center" wrapText="1"/>
    </xf>
    <xf numFmtId="15" fontId="0" fillId="0" borderId="29" xfId="0" applyNumberFormat="1" applyFill="1" applyBorder="1" applyAlignment="1" applyProtection="1">
      <alignment horizontal="center" wrapText="1"/>
    </xf>
    <xf numFmtId="49" fontId="5" fillId="0" borderId="0" xfId="0" applyNumberFormat="1" applyFont="1" applyBorder="1" applyAlignment="1" applyProtection="1">
      <alignment horizontal="center" vertical="center" wrapText="1"/>
      <protection locked="0"/>
    </xf>
    <xf numFmtId="0" fontId="14" fillId="0" borderId="0" xfId="0"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6" fillId="0" borderId="0" xfId="0"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 fontId="6" fillId="0" borderId="0" xfId="0" applyNumberFormat="1" applyFont="1" applyBorder="1" applyAlignment="1" applyProtection="1">
      <alignment horizontal="center"/>
      <protection locked="0"/>
    </xf>
    <xf numFmtId="49" fontId="12" fillId="0" borderId="57" xfId="0" applyNumberFormat="1" applyFont="1" applyBorder="1" applyAlignment="1" applyProtection="1">
      <alignment horizontal="center" wrapText="1"/>
      <protection locked="0"/>
    </xf>
    <xf numFmtId="0" fontId="12" fillId="0" borderId="48" xfId="0" applyFont="1" applyBorder="1" applyAlignment="1" applyProtection="1">
      <alignment horizontal="center" wrapText="1"/>
      <protection locked="0"/>
    </xf>
    <xf numFmtId="49" fontId="4" fillId="0" borderId="59" xfId="0" applyNumberFormat="1" applyFont="1" applyBorder="1" applyAlignment="1" applyProtection="1">
      <alignment horizontal="center" wrapText="1"/>
      <protection locked="0"/>
    </xf>
    <xf numFmtId="0" fontId="0" fillId="0" borderId="60" xfId="0" applyBorder="1" applyAlignment="1" applyProtection="1">
      <alignment horizontal="center" wrapText="1"/>
      <protection locked="0"/>
    </xf>
    <xf numFmtId="49" fontId="5" fillId="12" borderId="0" xfId="0" applyNumberFormat="1" applyFont="1" applyFill="1" applyBorder="1" applyAlignment="1" applyProtection="1">
      <alignment horizontal="center" vertical="center" wrapText="1"/>
      <protection locked="0"/>
    </xf>
    <xf numFmtId="0" fontId="14" fillId="12" borderId="0" xfId="0" applyFont="1" applyFill="1" applyAlignment="1" applyProtection="1">
      <alignment horizontal="center" vertical="center" wrapText="1"/>
      <protection locked="0"/>
    </xf>
    <xf numFmtId="49" fontId="4" fillId="0" borderId="59" xfId="0" applyNumberFormat="1" applyFont="1" applyBorder="1" applyAlignment="1" applyProtection="1">
      <alignment horizontal="center" vertical="center" wrapText="1"/>
      <protection locked="0"/>
    </xf>
    <xf numFmtId="0" fontId="0" fillId="0" borderId="60" xfId="0" applyBorder="1" applyAlignment="1" applyProtection="1">
      <alignment horizontal="center" vertical="center" wrapText="1"/>
      <protection locked="0"/>
    </xf>
    <xf numFmtId="49" fontId="4" fillId="0" borderId="0" xfId="0" applyNumberFormat="1" applyFont="1" applyBorder="1" applyAlignment="1" applyProtection="1">
      <alignment horizontal="center" wrapText="1"/>
      <protection locked="0"/>
    </xf>
    <xf numFmtId="0" fontId="0" fillId="0" borderId="0" xfId="0" applyAlignment="1" applyProtection="1">
      <alignment horizontal="center" wrapText="1"/>
      <protection locked="0"/>
    </xf>
    <xf numFmtId="49" fontId="1" fillId="0" borderId="57" xfId="0" applyNumberFormat="1" applyFont="1" applyBorder="1" applyAlignment="1" applyProtection="1">
      <alignment horizontal="center" wrapText="1"/>
      <protection locked="0"/>
    </xf>
    <xf numFmtId="49" fontId="4" fillId="0" borderId="18" xfId="0" applyNumberFormat="1" applyFont="1" applyBorder="1" applyAlignment="1" applyProtection="1">
      <alignment horizontal="center" wrapText="1"/>
      <protection locked="0"/>
    </xf>
    <xf numFmtId="0" fontId="4" fillId="0" borderId="43" xfId="0" applyFont="1" applyBorder="1" applyAlignment="1" applyProtection="1">
      <alignment horizontal="center" wrapText="1"/>
      <protection locked="0"/>
    </xf>
    <xf numFmtId="49" fontId="1" fillId="0" borderId="40" xfId="0" applyNumberFormat="1" applyFont="1" applyBorder="1" applyAlignment="1" applyProtection="1">
      <alignment horizontal="center" wrapText="1"/>
      <protection locked="0"/>
    </xf>
    <xf numFmtId="0" fontId="12" fillId="0" borderId="28" xfId="0" applyFont="1" applyBorder="1" applyAlignment="1" applyProtection="1">
      <alignment horizontal="center" wrapText="1"/>
      <protection locked="0"/>
    </xf>
    <xf numFmtId="0" fontId="4" fillId="10" borderId="66" xfId="0" applyFont="1" applyFill="1" applyBorder="1" applyAlignment="1" applyProtection="1">
      <alignment horizontal="center"/>
      <protection locked="0"/>
    </xf>
    <xf numFmtId="0" fontId="4" fillId="10" borderId="32" xfId="0" applyFont="1" applyFill="1" applyBorder="1" applyAlignment="1" applyProtection="1">
      <alignment horizontal="center"/>
      <protection locked="0"/>
    </xf>
    <xf numFmtId="15" fontId="0" fillId="0" borderId="5" xfId="0" applyNumberFormat="1" applyFill="1" applyBorder="1" applyAlignment="1" applyProtection="1">
      <alignment horizontal="center" wrapText="1"/>
      <protection locked="0"/>
    </xf>
    <xf numFmtId="15" fontId="0" fillId="0" borderId="29" xfId="0" applyNumberFormat="1" applyFill="1" applyBorder="1" applyAlignment="1" applyProtection="1">
      <alignment horizontal="center" wrapText="1"/>
      <protection locked="0"/>
    </xf>
    <xf numFmtId="49" fontId="4" fillId="0" borderId="5" xfId="0" applyNumberFormat="1" applyFont="1" applyBorder="1" applyAlignment="1" applyProtection="1">
      <alignment horizontal="center" wrapText="1"/>
      <protection locked="0"/>
    </xf>
    <xf numFmtId="0" fontId="0" fillId="0" borderId="29" xfId="0" applyBorder="1" applyAlignment="1" applyProtection="1">
      <alignment horizontal="center" wrapText="1"/>
      <protection locked="0"/>
    </xf>
    <xf numFmtId="49" fontId="8" fillId="0" borderId="5" xfId="0" applyNumberFormat="1" applyFont="1" applyBorder="1" applyAlignment="1" applyProtection="1">
      <alignment horizontal="center" wrapText="1"/>
      <protection locked="0"/>
    </xf>
    <xf numFmtId="49" fontId="8" fillId="0" borderId="2" xfId="0" applyNumberFormat="1" applyFont="1" applyBorder="1" applyAlignment="1" applyProtection="1">
      <alignment horizontal="left" vertical="center" wrapText="1"/>
      <protection locked="0"/>
    </xf>
    <xf numFmtId="0" fontId="0" fillId="0" borderId="31" xfId="0" applyBorder="1" applyAlignment="1" applyProtection="1">
      <alignment horizontal="left" vertical="center" wrapText="1"/>
      <protection locked="0"/>
    </xf>
    <xf numFmtId="0" fontId="0" fillId="0" borderId="51" xfId="0" applyBorder="1" applyAlignment="1" applyProtection="1">
      <alignment horizontal="left" vertical="center" wrapText="1"/>
      <protection locked="0"/>
    </xf>
    <xf numFmtId="0" fontId="0" fillId="0" borderId="26" xfId="0" applyBorder="1" applyAlignment="1" applyProtection="1">
      <alignment horizontal="left" vertical="center" wrapText="1"/>
      <protection locked="0"/>
    </xf>
    <xf numFmtId="0" fontId="0" fillId="0" borderId="5" xfId="0" applyFill="1" applyBorder="1" applyAlignment="1" applyProtection="1">
      <alignment horizontal="center" wrapText="1"/>
      <protection locked="0"/>
    </xf>
    <xf numFmtId="0" fontId="0" fillId="0" borderId="29" xfId="0" applyFill="1" applyBorder="1" applyAlignment="1" applyProtection="1">
      <alignment horizontal="center" wrapText="1"/>
      <protection locked="0"/>
    </xf>
    <xf numFmtId="0" fontId="4" fillId="0" borderId="5" xfId="0" applyFont="1" applyFill="1" applyBorder="1" applyAlignment="1" applyProtection="1">
      <alignment horizontal="center"/>
      <protection locked="0"/>
    </xf>
    <xf numFmtId="0" fontId="4" fillId="0" borderId="29" xfId="0" applyFont="1" applyFill="1" applyBorder="1" applyAlignment="1" applyProtection="1">
      <alignment horizontal="center"/>
      <protection locked="0"/>
    </xf>
    <xf numFmtId="22" fontId="4" fillId="0" borderId="14" xfId="0" applyNumberFormat="1" applyFont="1" applyBorder="1" applyAlignment="1" applyProtection="1">
      <alignment horizontal="left" vertical="center" wrapText="1"/>
    </xf>
    <xf numFmtId="0" fontId="4" fillId="0" borderId="46" xfId="0" applyFont="1" applyBorder="1" applyAlignment="1" applyProtection="1">
      <alignment horizontal="left" vertical="center" wrapText="1"/>
    </xf>
    <xf numFmtId="0" fontId="4" fillId="0" borderId="47" xfId="0" applyFont="1" applyBorder="1" applyAlignment="1" applyProtection="1">
      <alignment horizontal="left" vertical="center" wrapText="1"/>
    </xf>
    <xf numFmtId="49" fontId="4" fillId="0" borderId="4" xfId="0" applyNumberFormat="1" applyFont="1" applyBorder="1" applyAlignment="1" applyProtection="1">
      <alignment horizontal="center" vertical="center" wrapText="1"/>
      <protection locked="0"/>
    </xf>
    <xf numFmtId="49" fontId="4" fillId="0" borderId="52" xfId="0" applyNumberFormat="1" applyFont="1" applyBorder="1" applyAlignment="1" applyProtection="1">
      <alignment horizontal="center" vertical="center" wrapText="1"/>
      <protection locked="0"/>
    </xf>
    <xf numFmtId="0" fontId="4" fillId="10" borderId="17" xfId="0" applyFont="1" applyFill="1" applyBorder="1" applyAlignment="1" applyProtection="1">
      <alignment wrapText="1"/>
      <protection locked="0"/>
    </xf>
    <xf numFmtId="0" fontId="6" fillId="0" borderId="0" xfId="0" applyFont="1" applyAlignment="1" applyProtection="1">
      <alignment horizontal="left" vertical="top" wrapText="1"/>
      <protection locked="0"/>
    </xf>
    <xf numFmtId="0" fontId="4" fillId="0" borderId="9" xfId="0" applyFont="1" applyBorder="1" applyAlignment="1" applyProtection="1">
      <alignment horizontal="center"/>
      <protection locked="0"/>
    </xf>
    <xf numFmtId="0" fontId="4" fillId="0" borderId="17" xfId="0" applyFont="1" applyBorder="1" applyAlignment="1" applyProtection="1">
      <alignment horizontal="center"/>
      <protection locked="0"/>
    </xf>
    <xf numFmtId="0" fontId="11" fillId="0" borderId="0" xfId="0" applyFont="1" applyAlignment="1" applyProtection="1">
      <alignment horizontal="left" vertical="top" wrapText="1"/>
      <protection locked="0"/>
    </xf>
    <xf numFmtId="49" fontId="0" fillId="0" borderId="9" xfId="0" applyNumberFormat="1" applyBorder="1" applyAlignment="1" applyProtection="1">
      <alignment horizontal="left" vertical="center"/>
    </xf>
    <xf numFmtId="0" fontId="0" fillId="0" borderId="9" xfId="0" applyBorder="1" applyAlignment="1" applyProtection="1">
      <alignment horizontal="left" vertical="center"/>
    </xf>
    <xf numFmtId="0" fontId="0" fillId="0" borderId="23" xfId="0" applyBorder="1" applyAlignment="1" applyProtection="1">
      <alignment horizontal="left" vertical="center"/>
    </xf>
    <xf numFmtId="0" fontId="0" fillId="0" borderId="0" xfId="0" applyAlignment="1" applyProtection="1">
      <alignment horizontal="left" vertical="center"/>
    </xf>
    <xf numFmtId="49" fontId="21" fillId="0" borderId="35" xfId="0" applyNumberFormat="1" applyFont="1" applyBorder="1" applyAlignment="1" applyProtection="1">
      <alignment horizontal="left"/>
    </xf>
    <xf numFmtId="49" fontId="21" fillId="0" borderId="21" xfId="0" applyNumberFormat="1" applyFont="1" applyBorder="1" applyAlignment="1" applyProtection="1">
      <alignment horizontal="left"/>
    </xf>
    <xf numFmtId="49" fontId="21" fillId="0" borderId="27" xfId="0" applyNumberFormat="1" applyFont="1" applyBorder="1" applyAlignment="1" applyProtection="1">
      <alignment horizontal="left"/>
    </xf>
    <xf numFmtId="0" fontId="4" fillId="0" borderId="0" xfId="0" applyFont="1" applyAlignment="1" applyProtection="1">
      <alignment horizontal="left"/>
      <protection locked="0"/>
    </xf>
    <xf numFmtId="0" fontId="4" fillId="0" borderId="62" xfId="0" applyFont="1" applyBorder="1" applyAlignment="1" applyProtection="1">
      <alignment horizontal="center" vertical="center"/>
      <protection locked="0"/>
    </xf>
    <xf numFmtId="0" fontId="12" fillId="0" borderId="42" xfId="0" applyFont="1" applyBorder="1" applyAlignment="1" applyProtection="1">
      <alignment horizontal="center" vertical="center"/>
      <protection locked="0"/>
    </xf>
    <xf numFmtId="49" fontId="21" fillId="0" borderId="56" xfId="0" applyNumberFormat="1" applyFont="1" applyBorder="1" applyAlignment="1" applyProtection="1">
      <alignment horizontal="left"/>
    </xf>
    <xf numFmtId="49" fontId="21" fillId="0" borderId="50" xfId="0" applyNumberFormat="1" applyFont="1" applyBorder="1" applyAlignment="1" applyProtection="1">
      <alignment horizontal="left"/>
    </xf>
    <xf numFmtId="49" fontId="21" fillId="0" borderId="70" xfId="0" applyNumberFormat="1" applyFont="1" applyBorder="1" applyAlignment="1" applyProtection="1">
      <alignment horizontal="left"/>
    </xf>
    <xf numFmtId="0" fontId="0" fillId="0" borderId="63" xfId="0" applyBorder="1" applyAlignment="1" applyProtection="1">
      <alignment horizontal="center"/>
      <protection locked="0"/>
    </xf>
    <xf numFmtId="0" fontId="0" fillId="0" borderId="17" xfId="0" applyBorder="1" applyAlignment="1" applyProtection="1">
      <alignment horizontal="center"/>
      <protection locked="0"/>
    </xf>
    <xf numFmtId="0" fontId="11" fillId="0" borderId="17" xfId="0" applyFont="1" applyBorder="1" applyAlignment="1" applyProtection="1">
      <alignment horizontal="left"/>
      <protection locked="0"/>
    </xf>
    <xf numFmtId="0" fontId="11" fillId="0" borderId="61" xfId="0" applyFont="1" applyBorder="1" applyAlignment="1" applyProtection="1">
      <alignment horizontal="left"/>
      <protection locked="0"/>
    </xf>
    <xf numFmtId="0" fontId="12" fillId="0" borderId="0" xfId="0" applyFont="1" applyAlignment="1" applyProtection="1">
      <alignment horizontal="left"/>
      <protection locked="0"/>
    </xf>
    <xf numFmtId="0" fontId="4" fillId="0" borderId="42" xfId="0" applyFont="1" applyBorder="1" applyAlignment="1" applyProtection="1">
      <alignment horizontal="center" vertical="center"/>
      <protection locked="0"/>
    </xf>
    <xf numFmtId="0" fontId="12" fillId="0" borderId="44" xfId="0" applyFont="1" applyBorder="1" applyAlignment="1" applyProtection="1">
      <alignment horizontal="center" vertical="center"/>
      <protection locked="0"/>
    </xf>
    <xf numFmtId="0" fontId="4" fillId="0" borderId="0" xfId="0" applyFont="1" applyBorder="1" applyAlignment="1" applyProtection="1">
      <alignment horizontal="left"/>
      <protection locked="0"/>
    </xf>
    <xf numFmtId="0" fontId="4" fillId="0" borderId="15"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4" fillId="0" borderId="42" xfId="0" quotePrefix="1" applyFont="1" applyBorder="1" applyAlignment="1" applyProtection="1">
      <alignment horizontal="center" vertical="center"/>
      <protection locked="0"/>
    </xf>
    <xf numFmtId="0" fontId="7" fillId="0" borderId="0" xfId="0" applyFont="1" applyBorder="1"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Border="1" applyAlignment="1" applyProtection="1">
      <alignment horizontal="left" vertical="center"/>
    </xf>
    <xf numFmtId="0" fontId="4" fillId="0" borderId="44" xfId="0" applyFont="1" applyBorder="1" applyAlignment="1" applyProtection="1">
      <alignment horizontal="center" vertical="center"/>
      <protection locked="0"/>
    </xf>
    <xf numFmtId="0" fontId="4" fillId="0" borderId="9" xfId="0" applyFont="1" applyBorder="1" applyAlignment="1" applyProtection="1">
      <alignment horizontal="center" vertical="center"/>
      <protection locked="0"/>
    </xf>
    <xf numFmtId="0" fontId="4" fillId="0" borderId="23" xfId="0" applyFont="1" applyBorder="1" applyAlignment="1" applyProtection="1">
      <alignment horizontal="center" vertical="center"/>
      <protection locked="0"/>
    </xf>
    <xf numFmtId="0" fontId="15" fillId="0" borderId="0" xfId="0" applyFont="1" applyAlignment="1" applyProtection="1">
      <alignment horizontal="left"/>
      <protection locked="0"/>
    </xf>
    <xf numFmtId="0" fontId="4" fillId="0" borderId="5" xfId="0" applyFont="1" applyBorder="1" applyAlignment="1" applyProtection="1">
      <alignment horizontal="center"/>
      <protection locked="0"/>
    </xf>
    <xf numFmtId="0" fontId="4" fillId="0" borderId="6" xfId="0" applyFont="1" applyBorder="1" applyAlignment="1" applyProtection="1">
      <alignment horizontal="center"/>
      <protection locked="0"/>
    </xf>
    <xf numFmtId="0" fontId="11" fillId="0" borderId="2" xfId="0" applyFont="1" applyBorder="1" applyAlignment="1" applyProtection="1">
      <alignment horizontal="center"/>
      <protection locked="0"/>
    </xf>
    <xf numFmtId="0" fontId="11" fillId="0" borderId="3" xfId="0" applyFont="1" applyBorder="1" applyAlignment="1" applyProtection="1">
      <alignment horizontal="center"/>
      <protection locked="0"/>
    </xf>
    <xf numFmtId="0" fontId="11" fillId="0" borderId="4" xfId="0" applyFont="1" applyBorder="1" applyAlignment="1" applyProtection="1">
      <alignment horizontal="center"/>
      <protection locked="0"/>
    </xf>
    <xf numFmtId="0" fontId="11" fillId="0" borderId="5" xfId="0" applyFont="1" applyBorder="1" applyAlignment="1" applyProtection="1">
      <alignment horizontal="center"/>
      <protection locked="0"/>
    </xf>
    <xf numFmtId="0" fontId="11" fillId="0" borderId="0" xfId="0" applyFont="1" applyBorder="1" applyAlignment="1" applyProtection="1">
      <alignment horizontal="center"/>
      <protection locked="0"/>
    </xf>
    <xf numFmtId="0" fontId="11" fillId="0" borderId="6" xfId="0" applyFont="1" applyBorder="1" applyAlignment="1" applyProtection="1">
      <alignment horizontal="center"/>
      <protection locked="0"/>
    </xf>
    <xf numFmtId="0" fontId="11" fillId="0" borderId="7" xfId="0" applyFont="1" applyBorder="1" applyAlignment="1" applyProtection="1">
      <alignment horizontal="center"/>
      <protection locked="0"/>
    </xf>
    <xf numFmtId="0" fontId="11" fillId="0" borderId="8" xfId="0" applyFont="1" applyBorder="1" applyAlignment="1" applyProtection="1">
      <alignment horizontal="center"/>
      <protection locked="0"/>
    </xf>
    <xf numFmtId="0" fontId="11" fillId="0" borderId="10" xfId="0" applyFont="1" applyBorder="1" applyAlignment="1" applyProtection="1">
      <alignment horizontal="center"/>
      <protection locked="0"/>
    </xf>
    <xf numFmtId="164" fontId="11" fillId="0" borderId="2" xfId="3" applyFont="1" applyBorder="1" applyAlignment="1" applyProtection="1">
      <alignment horizontal="center"/>
      <protection locked="0"/>
    </xf>
    <xf numFmtId="164" fontId="11" fillId="0" borderId="3" xfId="3" applyFont="1" applyBorder="1" applyAlignment="1" applyProtection="1">
      <alignment horizontal="center"/>
      <protection locked="0"/>
    </xf>
    <xf numFmtId="164" fontId="11" fillId="0" borderId="4" xfId="3" applyFont="1" applyBorder="1" applyAlignment="1" applyProtection="1">
      <alignment horizontal="center"/>
      <protection locked="0"/>
    </xf>
    <xf numFmtId="164" fontId="11" fillId="0" borderId="5" xfId="3" applyFont="1" applyBorder="1" applyAlignment="1" applyProtection="1">
      <alignment horizontal="center"/>
      <protection locked="0"/>
    </xf>
    <xf numFmtId="164" fontId="11" fillId="0" borderId="0" xfId="3" applyFont="1" applyBorder="1" applyAlignment="1" applyProtection="1">
      <alignment horizontal="center"/>
      <protection locked="0"/>
    </xf>
    <xf numFmtId="164" fontId="11" fillId="0" borderId="6" xfId="3" applyFont="1" applyBorder="1" applyAlignment="1" applyProtection="1">
      <alignment horizontal="center"/>
      <protection locked="0"/>
    </xf>
    <xf numFmtId="164" fontId="11" fillId="0" borderId="7" xfId="3" applyFont="1" applyBorder="1" applyAlignment="1" applyProtection="1">
      <alignment horizontal="center"/>
      <protection locked="0"/>
    </xf>
    <xf numFmtId="164" fontId="11" fillId="0" borderId="8" xfId="3" applyFont="1" applyBorder="1" applyAlignment="1" applyProtection="1">
      <alignment horizontal="center"/>
      <protection locked="0"/>
    </xf>
    <xf numFmtId="164" fontId="11" fillId="0" borderId="10" xfId="3" applyFont="1" applyBorder="1" applyAlignment="1" applyProtection="1">
      <alignment horizontal="center"/>
      <protection locked="0"/>
    </xf>
    <xf numFmtId="0" fontId="10" fillId="0" borderId="2" xfId="0" applyFont="1" applyBorder="1" applyAlignment="1" applyProtection="1">
      <alignment horizontal="center"/>
      <protection locked="0"/>
    </xf>
    <xf numFmtId="0" fontId="10" fillId="0" borderId="3" xfId="0" applyFont="1" applyBorder="1" applyAlignment="1" applyProtection="1">
      <alignment horizontal="center"/>
      <protection locked="0"/>
    </xf>
    <xf numFmtId="0" fontId="10" fillId="0" borderId="4" xfId="0" applyFont="1" applyBorder="1" applyAlignment="1" applyProtection="1">
      <alignment horizontal="center"/>
      <protection locked="0"/>
    </xf>
    <xf numFmtId="0" fontId="10" fillId="0" borderId="5" xfId="0" applyFont="1" applyBorder="1" applyAlignment="1" applyProtection="1">
      <alignment horizontal="center"/>
      <protection locked="0"/>
    </xf>
    <xf numFmtId="0" fontId="10" fillId="0" borderId="0" xfId="0" applyFont="1" applyBorder="1" applyAlignment="1" applyProtection="1">
      <alignment horizontal="center"/>
      <protection locked="0"/>
    </xf>
    <xf numFmtId="0" fontId="10" fillId="0" borderId="6" xfId="0" applyFont="1" applyBorder="1" applyAlignment="1" applyProtection="1">
      <alignment horizontal="center"/>
      <protection locked="0"/>
    </xf>
    <xf numFmtId="0" fontId="10" fillId="0" borderId="7" xfId="0" applyFont="1" applyBorder="1" applyAlignment="1" applyProtection="1">
      <alignment horizontal="center"/>
      <protection locked="0"/>
    </xf>
    <xf numFmtId="0" fontId="10" fillId="0" borderId="8" xfId="0" applyFont="1" applyBorder="1" applyAlignment="1" applyProtection="1">
      <alignment horizontal="center"/>
      <protection locked="0"/>
    </xf>
    <xf numFmtId="0" fontId="10" fillId="0" borderId="10" xfId="0" applyFont="1" applyBorder="1" applyAlignment="1" applyProtection="1">
      <alignment horizontal="center"/>
      <protection locked="0"/>
    </xf>
    <xf numFmtId="164" fontId="10" fillId="0" borderId="2" xfId="3" applyFont="1" applyBorder="1" applyAlignment="1" applyProtection="1">
      <alignment horizontal="center" vertical="center"/>
      <protection locked="0"/>
    </xf>
    <xf numFmtId="164" fontId="10" fillId="0" borderId="3" xfId="3" applyFont="1" applyBorder="1" applyAlignment="1" applyProtection="1">
      <alignment horizontal="center" vertical="center"/>
      <protection locked="0"/>
    </xf>
    <xf numFmtId="164" fontId="10" fillId="0" borderId="4" xfId="3" applyFont="1" applyBorder="1" applyAlignment="1" applyProtection="1">
      <alignment horizontal="center" vertical="center"/>
      <protection locked="0"/>
    </xf>
    <xf numFmtId="164" fontId="10" fillId="0" borderId="7" xfId="3" applyFont="1" applyBorder="1" applyAlignment="1" applyProtection="1">
      <alignment horizontal="center" vertical="center"/>
      <protection locked="0"/>
    </xf>
    <xf numFmtId="164" fontId="10" fillId="0" borderId="8" xfId="3" applyFont="1" applyBorder="1" applyAlignment="1" applyProtection="1">
      <alignment horizontal="center" vertical="center"/>
      <protection locked="0"/>
    </xf>
    <xf numFmtId="164" fontId="10" fillId="0" borderId="10" xfId="3" applyFont="1" applyBorder="1" applyAlignment="1" applyProtection="1">
      <alignment horizontal="center" vertical="center"/>
      <protection locked="0"/>
    </xf>
    <xf numFmtId="165" fontId="10" fillId="0" borderId="2" xfId="0" applyNumberFormat="1" applyFont="1" applyBorder="1" applyAlignment="1" applyProtection="1">
      <alignment horizontal="center" vertical="center"/>
      <protection locked="0"/>
    </xf>
    <xf numFmtId="165" fontId="10" fillId="0" borderId="3" xfId="0" applyNumberFormat="1" applyFont="1" applyBorder="1" applyAlignment="1" applyProtection="1">
      <alignment horizontal="center" vertical="center"/>
      <protection locked="0"/>
    </xf>
    <xf numFmtId="165" fontId="10" fillId="0" borderId="4" xfId="0" applyNumberFormat="1" applyFont="1" applyBorder="1" applyAlignment="1" applyProtection="1">
      <alignment horizontal="center" vertical="center"/>
      <protection locked="0"/>
    </xf>
    <xf numFmtId="165" fontId="10" fillId="0" borderId="7" xfId="0" applyNumberFormat="1" applyFont="1" applyBorder="1" applyAlignment="1" applyProtection="1">
      <alignment horizontal="center" vertical="center"/>
      <protection locked="0"/>
    </xf>
    <xf numFmtId="165" fontId="10" fillId="0" borderId="8" xfId="0" applyNumberFormat="1" applyFont="1" applyBorder="1" applyAlignment="1" applyProtection="1">
      <alignment horizontal="center" vertical="center"/>
      <protection locked="0"/>
    </xf>
    <xf numFmtId="165" fontId="10" fillId="0" borderId="10" xfId="0" applyNumberFormat="1" applyFont="1" applyBorder="1" applyAlignment="1" applyProtection="1">
      <alignment horizontal="center" vertical="center"/>
      <protection locked="0"/>
    </xf>
    <xf numFmtId="0" fontId="4" fillId="0" borderId="7" xfId="0" applyFont="1" applyBorder="1" applyAlignment="1" applyProtection="1">
      <alignment horizontal="center"/>
      <protection locked="0"/>
    </xf>
    <xf numFmtId="0" fontId="4" fillId="0" borderId="45" xfId="0" applyFont="1" applyBorder="1" applyAlignment="1" applyProtection="1">
      <alignment horizontal="center"/>
      <protection locked="0"/>
    </xf>
    <xf numFmtId="0" fontId="4" fillId="0" borderId="2" xfId="0" applyFont="1"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4" xfId="0" applyBorder="1" applyAlignment="1" applyProtection="1">
      <alignment horizontal="center" vertical="center" wrapText="1"/>
      <protection locked="0"/>
    </xf>
    <xf numFmtId="0" fontId="0" fillId="0" borderId="7"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12" fillId="0" borderId="35" xfId="0" applyFont="1" applyBorder="1" applyAlignment="1" applyProtection="1">
      <alignment horizontal="center" vertical="center" wrapText="1"/>
    </xf>
    <xf numFmtId="0" fontId="12" fillId="0" borderId="21" xfId="0" applyFont="1" applyBorder="1" applyAlignment="1" applyProtection="1">
      <alignment horizontal="center" vertical="center" wrapText="1"/>
    </xf>
    <xf numFmtId="0" fontId="12" fillId="0" borderId="33" xfId="0" applyFont="1" applyBorder="1" applyAlignment="1" applyProtection="1">
      <alignment horizontal="center" vertical="center" wrapText="1"/>
    </xf>
    <xf numFmtId="0" fontId="6" fillId="0" borderId="3" xfId="0" applyFont="1" applyBorder="1" applyAlignment="1" applyProtection="1">
      <alignment horizontal="center"/>
      <protection locked="0"/>
    </xf>
    <xf numFmtId="0" fontId="4" fillId="0" borderId="0" xfId="0" applyFont="1" applyBorder="1" applyAlignment="1" applyProtection="1">
      <alignment horizontal="center"/>
      <protection locked="0"/>
    </xf>
    <xf numFmtId="49" fontId="4" fillId="5" borderId="2" xfId="0" applyNumberFormat="1" applyFont="1" applyFill="1" applyBorder="1" applyAlignment="1" applyProtection="1">
      <alignment wrapText="1"/>
      <protection locked="0"/>
    </xf>
    <xf numFmtId="0" fontId="0" fillId="0" borderId="4" xfId="0" applyBorder="1" applyAlignment="1" applyProtection="1">
      <alignment wrapText="1"/>
      <protection locked="0"/>
    </xf>
    <xf numFmtId="0" fontId="0" fillId="0" borderId="3" xfId="0" applyBorder="1" applyAlignment="1" applyProtection="1">
      <alignment wrapText="1"/>
      <protection locked="0"/>
    </xf>
    <xf numFmtId="0" fontId="4" fillId="0" borderId="9" xfId="0" applyFont="1" applyFill="1" applyBorder="1" applyAlignment="1" applyProtection="1">
      <alignment horizontal="center"/>
    </xf>
    <xf numFmtId="0" fontId="7" fillId="0" borderId="8" xfId="0" applyFont="1" applyBorder="1" applyAlignment="1" applyProtection="1">
      <alignment horizontal="center"/>
      <protection locked="0"/>
    </xf>
    <xf numFmtId="0" fontId="4" fillId="0" borderId="11" xfId="0" applyFont="1" applyBorder="1" applyAlignment="1" applyProtection="1">
      <alignment horizontal="center" vertical="center"/>
      <protection locked="0"/>
    </xf>
    <xf numFmtId="0" fontId="4" fillId="0" borderId="19" xfId="0" applyFont="1" applyBorder="1" applyAlignment="1" applyProtection="1">
      <alignment horizontal="left" vertical="center"/>
    </xf>
    <xf numFmtId="0" fontId="4" fillId="0" borderId="32" xfId="0" applyFont="1" applyBorder="1" applyAlignment="1" applyProtection="1">
      <alignment horizontal="left" vertical="center"/>
    </xf>
    <xf numFmtId="0" fontId="4" fillId="0" borderId="21" xfId="0" applyFont="1" applyBorder="1" applyAlignment="1" applyProtection="1">
      <alignment horizontal="left" vertical="center"/>
    </xf>
    <xf numFmtId="0" fontId="4" fillId="0" borderId="27" xfId="0" applyFont="1" applyBorder="1" applyAlignment="1" applyProtection="1">
      <alignment horizontal="left" vertical="center"/>
    </xf>
    <xf numFmtId="0" fontId="4" fillId="0" borderId="20" xfId="0" applyFont="1" applyBorder="1" applyAlignment="1" applyProtection="1">
      <alignment horizontal="left" vertical="center"/>
    </xf>
    <xf numFmtId="0" fontId="7" fillId="0" borderId="46" xfId="0" applyFont="1" applyBorder="1" applyAlignment="1" applyProtection="1">
      <alignment horizontal="center" vertical="center"/>
      <protection locked="0"/>
    </xf>
    <xf numFmtId="0" fontId="4" fillId="0" borderId="51"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 fillId="0" borderId="52" xfId="0" applyFont="1" applyBorder="1" applyAlignment="1" applyProtection="1">
      <alignment horizontal="center" vertical="center" wrapText="1"/>
      <protection locked="0"/>
    </xf>
    <xf numFmtId="14" fontId="4" fillId="0" borderId="21" xfId="0" applyNumberFormat="1" applyFont="1" applyBorder="1" applyAlignment="1" applyProtection="1">
      <alignment horizontal="left" vertical="center" wrapText="1"/>
    </xf>
    <xf numFmtId="0" fontId="0" fillId="0" borderId="27" xfId="0" applyBorder="1" applyAlignment="1" applyProtection="1">
      <alignment horizontal="left" vertical="center" wrapText="1"/>
    </xf>
    <xf numFmtId="0" fontId="4" fillId="0" borderId="3" xfId="0" applyFont="1" applyBorder="1" applyAlignment="1" applyProtection="1">
      <alignment horizontal="center" vertical="center" wrapText="1"/>
      <protection locked="0"/>
    </xf>
    <xf numFmtId="0" fontId="4" fillId="0" borderId="4" xfId="0" applyFont="1" applyBorder="1" applyAlignment="1" applyProtection="1">
      <alignment horizontal="center" vertical="center" wrapText="1"/>
      <protection locked="0"/>
    </xf>
    <xf numFmtId="0" fontId="4" fillId="0" borderId="37" xfId="0" applyFont="1" applyBorder="1" applyAlignment="1" applyProtection="1">
      <alignment horizontal="center" vertical="center"/>
    </xf>
    <xf numFmtId="0" fontId="4" fillId="0" borderId="8" xfId="0" applyFont="1" applyBorder="1" applyAlignment="1" applyProtection="1">
      <alignment horizontal="center" vertical="center"/>
    </xf>
    <xf numFmtId="1" fontId="8" fillId="0" borderId="21" xfId="0" applyNumberFormat="1" applyFont="1" applyBorder="1" applyAlignment="1" applyProtection="1">
      <alignment horizontal="center" vertical="center"/>
    </xf>
    <xf numFmtId="0" fontId="8" fillId="0" borderId="21" xfId="0" applyFont="1" applyBorder="1" applyAlignment="1" applyProtection="1">
      <alignment horizontal="center" vertical="center"/>
    </xf>
    <xf numFmtId="0" fontId="8" fillId="0" borderId="33" xfId="0" applyFont="1" applyBorder="1" applyAlignment="1" applyProtection="1">
      <alignment horizontal="center" vertical="center"/>
    </xf>
    <xf numFmtId="0" fontId="8" fillId="0" borderId="14" xfId="0" applyFont="1" applyBorder="1" applyAlignment="1" applyProtection="1">
      <alignment horizontal="center" wrapText="1"/>
      <protection locked="0"/>
    </xf>
    <xf numFmtId="0" fontId="8" fillId="0" borderId="46" xfId="0" applyFont="1" applyBorder="1" applyAlignment="1" applyProtection="1">
      <alignment horizontal="center" wrapText="1"/>
      <protection locked="0"/>
    </xf>
    <xf numFmtId="0" fontId="8" fillId="0" borderId="47" xfId="0" applyFont="1" applyBorder="1" applyAlignment="1" applyProtection="1">
      <alignment horizontal="center" wrapText="1"/>
      <protection locked="0"/>
    </xf>
    <xf numFmtId="0" fontId="8" fillId="0" borderId="14" xfId="0" applyFont="1" applyBorder="1" applyAlignment="1" applyProtection="1">
      <alignment horizontal="center"/>
      <protection locked="0"/>
    </xf>
    <xf numFmtId="0" fontId="8" fillId="0" borderId="46" xfId="0" applyFont="1" applyBorder="1" applyAlignment="1" applyProtection="1">
      <alignment horizontal="center"/>
      <protection locked="0"/>
    </xf>
    <xf numFmtId="0" fontId="8" fillId="0" borderId="47" xfId="0" applyFont="1" applyBorder="1" applyAlignment="1" applyProtection="1">
      <alignment horizontal="center"/>
      <protection locked="0"/>
    </xf>
    <xf numFmtId="22" fontId="4" fillId="0" borderId="3" xfId="0" applyNumberFormat="1" applyFont="1" applyBorder="1" applyAlignment="1" applyProtection="1">
      <alignment horizontal="center" vertical="center" wrapText="1"/>
    </xf>
    <xf numFmtId="0" fontId="4" fillId="0" borderId="3" xfId="0" applyFont="1" applyBorder="1" applyAlignment="1" applyProtection="1">
      <alignment horizontal="center" vertical="center" wrapText="1"/>
    </xf>
    <xf numFmtId="0" fontId="4" fillId="0" borderId="53" xfId="0" applyFont="1" applyBorder="1" applyAlignment="1" applyProtection="1">
      <alignment horizontal="center" wrapText="1"/>
    </xf>
    <xf numFmtId="0" fontId="4" fillId="0" borderId="54" xfId="0" applyFont="1" applyBorder="1" applyAlignment="1" applyProtection="1">
      <alignment horizontal="center" wrapText="1"/>
    </xf>
    <xf numFmtId="0" fontId="4" fillId="0" borderId="55" xfId="0" applyFont="1" applyBorder="1" applyAlignment="1" applyProtection="1">
      <alignment horizontal="center" wrapText="1"/>
    </xf>
    <xf numFmtId="0" fontId="4" fillId="0" borderId="57" xfId="0" applyFont="1" applyBorder="1" applyAlignment="1" applyProtection="1">
      <alignment horizontal="center" wrapText="1"/>
    </xf>
    <xf numFmtId="0" fontId="0" fillId="0" borderId="34" xfId="0" applyBorder="1" applyAlignment="1" applyProtection="1">
      <alignment horizontal="center" wrapText="1"/>
    </xf>
    <xf numFmtId="0" fontId="0" fillId="0" borderId="58" xfId="0" applyBorder="1" applyAlignment="1" applyProtection="1">
      <alignment horizontal="center" wrapText="1"/>
    </xf>
    <xf numFmtId="165" fontId="10" fillId="0" borderId="2" xfId="0" applyNumberFormat="1" applyFont="1" applyBorder="1" applyAlignment="1" applyProtection="1">
      <alignment horizontal="center"/>
      <protection locked="0"/>
    </xf>
    <xf numFmtId="165" fontId="10" fillId="0" borderId="4" xfId="0" applyNumberFormat="1" applyFont="1" applyBorder="1" applyAlignment="1" applyProtection="1">
      <alignment horizontal="center"/>
      <protection locked="0"/>
    </xf>
    <xf numFmtId="165" fontId="10" fillId="0" borderId="5" xfId="0" applyNumberFormat="1" applyFont="1" applyBorder="1" applyAlignment="1" applyProtection="1">
      <alignment horizontal="center"/>
      <protection locked="0"/>
    </xf>
    <xf numFmtId="165" fontId="10" fillId="0" borderId="6" xfId="0" applyNumberFormat="1" applyFont="1" applyBorder="1" applyAlignment="1" applyProtection="1">
      <alignment horizontal="center"/>
      <protection locked="0"/>
    </xf>
    <xf numFmtId="165" fontId="10" fillId="0" borderId="7" xfId="0" applyNumberFormat="1" applyFont="1" applyBorder="1" applyAlignment="1" applyProtection="1">
      <alignment horizontal="center"/>
      <protection locked="0"/>
    </xf>
    <xf numFmtId="165" fontId="10" fillId="0" borderId="10" xfId="0" applyNumberFormat="1" applyFont="1" applyBorder="1" applyAlignment="1" applyProtection="1">
      <alignment horizontal="center"/>
      <protection locked="0"/>
    </xf>
    <xf numFmtId="0" fontId="4" fillId="0" borderId="7" xfId="0" applyFont="1" applyBorder="1" applyAlignment="1" applyProtection="1">
      <alignment horizontal="center" wrapText="1"/>
    </xf>
    <xf numFmtId="0" fontId="0" fillId="0" borderId="8" xfId="0" applyBorder="1" applyAlignment="1" applyProtection="1">
      <alignment horizontal="center" wrapText="1"/>
    </xf>
    <xf numFmtId="0" fontId="0" fillId="0" borderId="10" xfId="0" applyBorder="1" applyAlignment="1" applyProtection="1">
      <alignment horizontal="center" wrapText="1"/>
    </xf>
    <xf numFmtId="165" fontId="10" fillId="0" borderId="2" xfId="0" applyNumberFormat="1" applyFont="1" applyBorder="1" applyAlignment="1" applyProtection="1">
      <alignment vertical="center" wrapText="1"/>
      <protection locked="0"/>
    </xf>
    <xf numFmtId="165" fontId="10" fillId="0" borderId="4" xfId="0" applyNumberFormat="1" applyFont="1" applyBorder="1" applyAlignment="1" applyProtection="1">
      <alignment vertical="center" wrapText="1"/>
      <protection locked="0"/>
    </xf>
    <xf numFmtId="165" fontId="10" fillId="0" borderId="7" xfId="0" applyNumberFormat="1" applyFont="1" applyBorder="1" applyAlignment="1" applyProtection="1">
      <alignment vertical="center" wrapText="1"/>
      <protection locked="0"/>
    </xf>
    <xf numFmtId="165" fontId="10" fillId="0" borderId="10" xfId="0" applyNumberFormat="1" applyFont="1" applyBorder="1" applyAlignment="1" applyProtection="1">
      <alignment vertical="center" wrapText="1"/>
      <protection locked="0"/>
    </xf>
    <xf numFmtId="165" fontId="4" fillId="0" borderId="3" xfId="0" applyNumberFormat="1" applyFont="1" applyBorder="1" applyAlignment="1" applyProtection="1">
      <alignment horizontal="left"/>
      <protection locked="0"/>
    </xf>
    <xf numFmtId="165" fontId="4" fillId="0" borderId="4" xfId="0" applyNumberFormat="1" applyFont="1" applyBorder="1" applyAlignment="1" applyProtection="1">
      <alignment horizontal="left"/>
      <protection locked="0"/>
    </xf>
    <xf numFmtId="165" fontId="10" fillId="0" borderId="2" xfId="0" applyNumberFormat="1" applyFont="1" applyBorder="1" applyAlignment="1" applyProtection="1">
      <alignment horizontal="center" vertical="center" wrapText="1"/>
      <protection locked="0"/>
    </xf>
    <xf numFmtId="165" fontId="10" fillId="0" borderId="3" xfId="0" applyNumberFormat="1" applyFont="1" applyBorder="1" applyAlignment="1" applyProtection="1">
      <alignment horizontal="center" vertical="center" wrapText="1"/>
      <protection locked="0"/>
    </xf>
    <xf numFmtId="165" fontId="10" fillId="0" borderId="7" xfId="0" applyNumberFormat="1" applyFont="1" applyBorder="1" applyAlignment="1" applyProtection="1">
      <alignment horizontal="center" vertical="center" wrapText="1"/>
      <protection locked="0"/>
    </xf>
    <xf numFmtId="165" fontId="10" fillId="0" borderId="8" xfId="0" applyNumberFormat="1" applyFont="1" applyBorder="1" applyAlignment="1" applyProtection="1">
      <alignment horizontal="center" vertical="center" wrapText="1"/>
      <protection locked="0"/>
    </xf>
    <xf numFmtId="165" fontId="10" fillId="0" borderId="4" xfId="0" applyNumberFormat="1" applyFont="1" applyBorder="1" applyAlignment="1" applyProtection="1">
      <alignment horizontal="center" vertical="center" wrapText="1"/>
      <protection locked="0"/>
    </xf>
    <xf numFmtId="165" fontId="10" fillId="0" borderId="10" xfId="0" applyNumberFormat="1" applyFont="1" applyBorder="1" applyAlignment="1" applyProtection="1">
      <alignment horizontal="center" vertical="center" wrapText="1"/>
      <protection locked="0"/>
    </xf>
    <xf numFmtId="0" fontId="4" fillId="10" borderId="5" xfId="0" applyFont="1" applyFill="1" applyBorder="1" applyAlignment="1" applyProtection="1">
      <alignment horizontal="left" vertical="center"/>
    </xf>
    <xf numFmtId="0" fontId="4" fillId="10" borderId="0" xfId="0" applyFont="1" applyFill="1" applyBorder="1" applyAlignment="1" applyProtection="1">
      <alignment horizontal="left" vertical="center"/>
    </xf>
    <xf numFmtId="0" fontId="4" fillId="10" borderId="6" xfId="0" applyFont="1" applyFill="1" applyBorder="1" applyAlignment="1" applyProtection="1">
      <alignment horizontal="left" vertical="center"/>
    </xf>
    <xf numFmtId="4" fontId="4" fillId="0" borderId="14" xfId="0" applyNumberFormat="1" applyFont="1" applyBorder="1" applyAlignment="1" applyProtection="1">
      <alignment horizontal="center"/>
    </xf>
    <xf numFmtId="4" fontId="4" fillId="0" borderId="47" xfId="0" applyNumberFormat="1" applyFont="1" applyBorder="1" applyAlignment="1" applyProtection="1">
      <alignment horizontal="center"/>
    </xf>
    <xf numFmtId="0" fontId="4" fillId="0" borderId="8" xfId="0" applyFont="1" applyBorder="1" applyAlignment="1" applyProtection="1">
      <alignment horizontal="center"/>
      <protection locked="0"/>
    </xf>
    <xf numFmtId="0" fontId="4" fillId="0" borderId="10" xfId="0" applyFont="1" applyBorder="1" applyAlignment="1" applyProtection="1">
      <alignment horizontal="center"/>
      <protection locked="0"/>
    </xf>
    <xf numFmtId="165" fontId="4" fillId="0" borderId="14" xfId="0" applyNumberFormat="1" applyFont="1" applyBorder="1" applyAlignment="1" applyProtection="1">
      <alignment horizontal="center"/>
    </xf>
    <xf numFmtId="165" fontId="4" fillId="0" borderId="47" xfId="0" applyNumberFormat="1" applyFont="1" applyBorder="1" applyAlignment="1" applyProtection="1">
      <alignment horizontal="center"/>
    </xf>
    <xf numFmtId="0" fontId="8" fillId="0" borderId="7" xfId="0" applyFont="1" applyBorder="1" applyAlignment="1" applyProtection="1">
      <alignment horizontal="left" vertical="top"/>
      <protection locked="0"/>
    </xf>
    <xf numFmtId="0" fontId="8" fillId="0" borderId="8" xfId="0" applyFont="1" applyBorder="1" applyAlignment="1" applyProtection="1">
      <alignment horizontal="left" vertical="top"/>
      <protection locked="0"/>
    </xf>
    <xf numFmtId="0" fontId="8" fillId="0" borderId="10" xfId="0" applyFont="1" applyBorder="1" applyAlignment="1" applyProtection="1">
      <alignment horizontal="left" vertical="top"/>
      <protection locked="0"/>
    </xf>
    <xf numFmtId="0" fontId="0" fillId="0" borderId="8" xfId="0" applyBorder="1" applyAlignment="1" applyProtection="1">
      <alignment horizontal="center"/>
      <protection locked="0"/>
    </xf>
    <xf numFmtId="0" fontId="0" fillId="0" borderId="10" xfId="0" applyBorder="1" applyAlignment="1" applyProtection="1">
      <alignment horizontal="center"/>
      <protection locked="0"/>
    </xf>
    <xf numFmtId="165" fontId="10" fillId="0" borderId="3" xfId="0" applyNumberFormat="1" applyFont="1" applyBorder="1" applyAlignment="1" applyProtection="1">
      <alignment horizontal="center"/>
      <protection locked="0"/>
    </xf>
    <xf numFmtId="14" fontId="18" fillId="0" borderId="0" xfId="0" applyNumberFormat="1" applyFont="1" applyAlignment="1" applyProtection="1">
      <alignment horizontal="center"/>
    </xf>
    <xf numFmtId="0" fontId="18" fillId="0" borderId="35" xfId="0" applyFont="1" applyBorder="1" applyAlignment="1" applyProtection="1">
      <alignment horizontal="center"/>
      <protection locked="0"/>
    </xf>
    <xf numFmtId="0" fontId="18" fillId="0" borderId="21" xfId="0" applyFont="1" applyBorder="1" applyAlignment="1" applyProtection="1">
      <alignment horizontal="center"/>
      <protection locked="0"/>
    </xf>
    <xf numFmtId="0" fontId="18" fillId="0" borderId="33" xfId="0" applyFont="1" applyBorder="1" applyAlignment="1" applyProtection="1">
      <alignment horizontal="center"/>
      <protection locked="0"/>
    </xf>
    <xf numFmtId="1" fontId="18" fillId="0" borderId="35" xfId="0" applyNumberFormat="1" applyFont="1" applyBorder="1" applyAlignment="1" applyProtection="1">
      <alignment horizontal="right"/>
    </xf>
    <xf numFmtId="0" fontId="18" fillId="0" borderId="27" xfId="0" applyFont="1" applyBorder="1" applyAlignment="1" applyProtection="1">
      <alignment horizontal="right"/>
    </xf>
    <xf numFmtId="0" fontId="18" fillId="9" borderId="0" xfId="0" applyFont="1" applyFill="1" applyAlignment="1" applyProtection="1">
      <alignment horizontal="center"/>
      <protection locked="0"/>
    </xf>
    <xf numFmtId="49" fontId="18" fillId="0" borderId="9" xfId="0" applyNumberFormat="1" applyFont="1" applyBorder="1" applyProtection="1"/>
    <xf numFmtId="0" fontId="18" fillId="0" borderId="9" xfId="0" applyFont="1" applyBorder="1" applyProtection="1"/>
    <xf numFmtId="1" fontId="18" fillId="0" borderId="9" xfId="0" applyNumberFormat="1" applyFont="1" applyBorder="1" applyAlignment="1" applyProtection="1">
      <alignment horizontal="right"/>
    </xf>
    <xf numFmtId="0" fontId="18" fillId="0" borderId="9" xfId="0" applyFont="1" applyBorder="1" applyAlignment="1" applyProtection="1">
      <alignment horizontal="right"/>
    </xf>
    <xf numFmtId="0" fontId="19" fillId="0" borderId="0" xfId="0" applyFont="1" applyAlignment="1" applyProtection="1">
      <alignment horizontal="center"/>
      <protection locked="0"/>
    </xf>
    <xf numFmtId="0" fontId="5" fillId="0" borderId="0" xfId="0" applyFont="1" applyAlignment="1" applyProtection="1">
      <alignment horizontal="center"/>
      <protection locked="0"/>
    </xf>
    <xf numFmtId="0" fontId="18" fillId="0" borderId="0" xfId="0" applyFont="1" applyAlignment="1" applyProtection="1">
      <alignment horizontal="left"/>
    </xf>
    <xf numFmtId="49" fontId="18" fillId="0" borderId="0" xfId="0" applyNumberFormat="1" applyFont="1" applyAlignment="1" applyProtection="1">
      <alignment horizontal="left"/>
    </xf>
    <xf numFmtId="0" fontId="18" fillId="0" borderId="0" xfId="0" applyFont="1" applyAlignment="1" applyProtection="1">
      <alignment horizontal="left"/>
      <protection locked="0"/>
    </xf>
    <xf numFmtId="0" fontId="18" fillId="9" borderId="0" xfId="0" applyFont="1" applyFill="1" applyAlignment="1" applyProtection="1">
      <alignment horizontal="left"/>
      <protection locked="0"/>
    </xf>
    <xf numFmtId="0" fontId="6" fillId="0" borderId="0" xfId="0" applyFont="1" applyAlignment="1" applyProtection="1">
      <alignment horizontal="center"/>
      <protection locked="0"/>
    </xf>
    <xf numFmtId="0" fontId="18" fillId="9" borderId="9" xfId="0" applyFont="1" applyFill="1" applyBorder="1" applyProtection="1">
      <protection locked="0"/>
    </xf>
    <xf numFmtId="0" fontId="18" fillId="9" borderId="9" xfId="0" applyFont="1" applyFill="1" applyBorder="1" applyAlignment="1" applyProtection="1">
      <alignment horizontal="center"/>
      <protection locked="0"/>
    </xf>
    <xf numFmtId="0" fontId="0" fillId="0" borderId="14" xfId="0" applyBorder="1" applyAlignment="1" applyProtection="1">
      <alignment horizontal="center" vertical="center"/>
      <protection locked="0"/>
    </xf>
    <xf numFmtId="0" fontId="0" fillId="0" borderId="46" xfId="0" applyBorder="1" applyAlignment="1" applyProtection="1">
      <alignment horizontal="center" vertical="center"/>
      <protection locked="0"/>
    </xf>
    <xf numFmtId="0" fontId="0" fillId="0" borderId="47" xfId="0" applyBorder="1" applyAlignment="1" applyProtection="1">
      <alignment horizontal="center" vertical="center"/>
      <protection locked="0"/>
    </xf>
    <xf numFmtId="0" fontId="10" fillId="0" borderId="51" xfId="0" applyFont="1" applyBorder="1" applyAlignment="1" applyProtection="1">
      <alignment horizontal="center" vertical="center"/>
      <protection locked="0"/>
    </xf>
    <xf numFmtId="0" fontId="10" fillId="0" borderId="25" xfId="0" applyFont="1" applyBorder="1" applyAlignment="1" applyProtection="1">
      <alignment horizontal="center" vertical="center"/>
      <protection locked="0"/>
    </xf>
    <xf numFmtId="0" fontId="10" fillId="0" borderId="52" xfId="0" applyFont="1" applyBorder="1" applyAlignment="1" applyProtection="1">
      <alignment horizontal="center" vertical="center"/>
      <protection locked="0"/>
    </xf>
    <xf numFmtId="0" fontId="6" fillId="0" borderId="2" xfId="0" applyFont="1" applyBorder="1" applyAlignment="1" applyProtection="1">
      <alignment horizontal="center" vertical="center"/>
      <protection locked="0"/>
    </xf>
    <xf numFmtId="0" fontId="6" fillId="0" borderId="3" xfId="0" applyFont="1" applyBorder="1" applyAlignment="1" applyProtection="1">
      <alignment horizontal="center" vertical="center"/>
      <protection locked="0"/>
    </xf>
    <xf numFmtId="0" fontId="6" fillId="0" borderId="4" xfId="0" applyFont="1" applyBorder="1" applyAlignment="1" applyProtection="1">
      <alignment horizontal="center" vertical="center"/>
      <protection locked="0"/>
    </xf>
    <xf numFmtId="0" fontId="6" fillId="0" borderId="51" xfId="0" applyFont="1" applyBorder="1" applyAlignment="1" applyProtection="1">
      <alignment horizontal="center" vertical="center"/>
      <protection locked="0"/>
    </xf>
    <xf numFmtId="0" fontId="6" fillId="0" borderId="25" xfId="0" applyFont="1" applyBorder="1" applyAlignment="1" applyProtection="1">
      <alignment horizontal="center" vertical="center"/>
      <protection locked="0"/>
    </xf>
    <xf numFmtId="0" fontId="6" fillId="0" borderId="52" xfId="0" applyFont="1" applyBorder="1" applyAlignment="1" applyProtection="1">
      <alignment horizontal="center" vertical="center"/>
      <protection locked="0"/>
    </xf>
    <xf numFmtId="0" fontId="13" fillId="0" borderId="14" xfId="0" applyFont="1" applyBorder="1" applyAlignment="1" applyProtection="1">
      <alignment horizontal="center" vertical="center"/>
      <protection locked="0"/>
    </xf>
    <xf numFmtId="0" fontId="13" fillId="0" borderId="46" xfId="0" applyFont="1" applyBorder="1" applyAlignment="1" applyProtection="1">
      <alignment horizontal="center" vertical="center"/>
      <protection locked="0"/>
    </xf>
    <xf numFmtId="0" fontId="13" fillId="0" borderId="47" xfId="0" applyFont="1" applyBorder="1" applyAlignment="1" applyProtection="1">
      <alignment horizontal="center" vertical="center"/>
      <protection locked="0"/>
    </xf>
    <xf numFmtId="0" fontId="13" fillId="0" borderId="72" xfId="0" applyFont="1" applyBorder="1" applyAlignment="1" applyProtection="1">
      <alignment horizontal="center" vertical="center"/>
      <protection locked="0"/>
    </xf>
    <xf numFmtId="0" fontId="13" fillId="0" borderId="73" xfId="0" applyFont="1" applyBorder="1" applyAlignment="1" applyProtection="1">
      <alignment horizontal="center" vertical="center"/>
      <protection locked="0"/>
    </xf>
    <xf numFmtId="0" fontId="13" fillId="0" borderId="74"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23" fillId="0" borderId="71" xfId="0" applyFont="1" applyBorder="1" applyAlignment="1" applyProtection="1">
      <alignment horizontal="center"/>
      <protection locked="0"/>
    </xf>
    <xf numFmtId="0" fontId="23" fillId="0" borderId="3" xfId="0" applyFont="1" applyBorder="1" applyAlignment="1" applyProtection="1">
      <alignment horizontal="center"/>
      <protection locked="0"/>
    </xf>
    <xf numFmtId="0" fontId="23" fillId="0" borderId="4" xfId="0" applyFont="1" applyBorder="1" applyAlignment="1" applyProtection="1">
      <alignment horizontal="center"/>
      <protection locked="0"/>
    </xf>
    <xf numFmtId="0" fontId="22" fillId="0" borderId="7" xfId="0" applyFont="1" applyBorder="1" applyAlignment="1" applyProtection="1">
      <alignment horizontal="left" vertical="center"/>
      <protection locked="0"/>
    </xf>
    <xf numFmtId="0" fontId="22" fillId="0" borderId="8" xfId="0" applyFont="1" applyBorder="1" applyAlignment="1" applyProtection="1">
      <alignment horizontal="left" vertical="center"/>
      <protection locked="0"/>
    </xf>
    <xf numFmtId="0" fontId="22" fillId="0" borderId="10" xfId="0" applyFont="1" applyBorder="1" applyAlignment="1" applyProtection="1">
      <alignment horizontal="left" vertical="center"/>
      <protection locked="0"/>
    </xf>
    <xf numFmtId="0" fontId="1" fillId="0" borderId="2" xfId="0" applyFont="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1" fillId="0" borderId="4" xfId="0" applyFont="1" applyBorder="1" applyAlignment="1" applyProtection="1">
      <alignment horizontal="left" vertical="top" wrapText="1"/>
      <protection locked="0"/>
    </xf>
    <xf numFmtId="0" fontId="22" fillId="0" borderId="5" xfId="0" applyFont="1" applyBorder="1" applyAlignment="1" applyProtection="1">
      <alignment horizontal="left" vertical="center"/>
      <protection locked="0"/>
    </xf>
    <xf numFmtId="0" fontId="22" fillId="0" borderId="0" xfId="0" applyFont="1" applyBorder="1" applyAlignment="1" applyProtection="1">
      <alignment horizontal="left" vertical="center"/>
      <protection locked="0"/>
    </xf>
    <xf numFmtId="0" fontId="22" fillId="0" borderId="6" xfId="0" applyFont="1" applyBorder="1" applyAlignment="1" applyProtection="1">
      <alignment horizontal="left" vertical="center"/>
      <protection locked="0"/>
    </xf>
    <xf numFmtId="0" fontId="6" fillId="0" borderId="0" xfId="0" applyFont="1" applyBorder="1" applyAlignment="1" applyProtection="1">
      <alignment horizontal="center" vertical="center"/>
    </xf>
    <xf numFmtId="0" fontId="7" fillId="0" borderId="0" xfId="0" applyFont="1" applyBorder="1" applyAlignment="1" applyProtection="1">
      <alignment horizontal="left" vertical="center"/>
      <protection locked="0"/>
    </xf>
  </cellXfs>
  <cellStyles count="4">
    <cellStyle name="centralizer" xfId="1"/>
    <cellStyle name="Currency" xfId="3" builtinId="4"/>
    <cellStyle name="Normal" xfId="0" builtinId="0"/>
    <cellStyle name="Percent" xfId="2"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861060</xdr:colOff>
      <xdr:row>3</xdr:row>
      <xdr:rowOff>39370</xdr:rowOff>
    </xdr:from>
    <xdr:to>
      <xdr:col>11</xdr:col>
      <xdr:colOff>681990</xdr:colOff>
      <xdr:row>5</xdr:row>
      <xdr:rowOff>125805</xdr:rowOff>
    </xdr:to>
    <xdr:sp macro="" textlink="">
      <xdr:nvSpPr>
        <xdr:cNvPr id="4098" name="WordArt 2">
          <a:extLst>
            <a:ext uri="{FF2B5EF4-FFF2-40B4-BE49-F238E27FC236}">
              <a16:creationId xmlns:a16="http://schemas.microsoft.com/office/drawing/2014/main" xmlns="" id="{00000000-0008-0000-0100-000002100000}"/>
            </a:ext>
          </a:extLst>
        </xdr:cNvPr>
        <xdr:cNvSpPr>
          <a:spLocks noChangeArrowheads="1" noChangeShapeType="1" noTextEdit="1"/>
        </xdr:cNvSpPr>
      </xdr:nvSpPr>
      <xdr:spPr bwMode="auto">
        <a:xfrm>
          <a:off x="2505710" y="655320"/>
          <a:ext cx="5916930" cy="410285"/>
        </a:xfrm>
        <a:prstGeom prst="rect">
          <a:avLst/>
        </a:prstGeom>
      </xdr:spPr>
      <xdr:txBody>
        <a:bodyPr wrap="none" fromWordArt="1">
          <a:prstTxWarp prst="textPlain">
            <a:avLst>
              <a:gd name="adj" fmla="val 50000"/>
            </a:avLst>
          </a:prstTxWarp>
        </a:bodyPr>
        <a:lstStyle/>
        <a:p>
          <a:pPr algn="ctr" rtl="0"/>
          <a:r>
            <a:rPr lang="fr-FR" sz="1400" kern="10" spc="0">
              <a:ln w="9525">
                <a:solidFill>
                  <a:srgbClr val="003300"/>
                </a:solidFill>
                <a:round/>
                <a:headEnd/>
                <a:tailEnd/>
              </a:ln>
              <a:solidFill>
                <a:srgbClr val="800000"/>
              </a:solidFill>
              <a:effectLst/>
              <a:latin typeface="Arial"/>
              <a:cs typeface="Arial"/>
            </a:rPr>
            <a:t>MASQUE DE SAISIE " MISSION "</a:t>
          </a:r>
        </a:p>
      </xdr:txBody>
    </xdr:sp>
    <xdr:clientData/>
  </xdr:twoCellAnchor>
  <xdr:twoCellAnchor editAs="oneCell">
    <xdr:from>
      <xdr:col>0</xdr:col>
      <xdr:colOff>34925</xdr:colOff>
      <xdr:row>0</xdr:row>
      <xdr:rowOff>6351</xdr:rowOff>
    </xdr:from>
    <xdr:to>
      <xdr:col>0</xdr:col>
      <xdr:colOff>723900</xdr:colOff>
      <xdr:row>5</xdr:row>
      <xdr:rowOff>69851</xdr:rowOff>
    </xdr:to>
    <xdr:pic>
      <xdr:nvPicPr>
        <xdr:cNvPr id="4" name="Image 3" descr="C:\Users\sont11003\Desktop\sonatrach.png">
          <a:extLst>
            <a:ext uri="{FF2B5EF4-FFF2-40B4-BE49-F238E27FC236}">
              <a16:creationId xmlns:a16="http://schemas.microsoft.com/office/drawing/2014/main" xmlns="" id="{00000000-0008-0000-0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925" y="6351"/>
          <a:ext cx="688975" cy="100330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457200</xdr:colOff>
      <xdr:row>1</xdr:row>
      <xdr:rowOff>144780</xdr:rowOff>
    </xdr:from>
    <xdr:to>
      <xdr:col>9</xdr:col>
      <xdr:colOff>133362</xdr:colOff>
      <xdr:row>3</xdr:row>
      <xdr:rowOff>28626</xdr:rowOff>
    </xdr:to>
    <xdr:sp macro="" textlink="">
      <xdr:nvSpPr>
        <xdr:cNvPr id="4" name="WordArt 12">
          <a:extLst>
            <a:ext uri="{FF2B5EF4-FFF2-40B4-BE49-F238E27FC236}">
              <a16:creationId xmlns:a16="http://schemas.microsoft.com/office/drawing/2014/main" xmlns="" id="{00000000-0008-0000-0200-000004000000}"/>
            </a:ext>
          </a:extLst>
        </xdr:cNvPr>
        <xdr:cNvSpPr>
          <a:spLocks noChangeArrowheads="1" noChangeShapeType="1" noTextEdit="1"/>
        </xdr:cNvSpPr>
      </xdr:nvSpPr>
      <xdr:spPr bwMode="auto">
        <a:xfrm>
          <a:off x="1152525" y="344805"/>
          <a:ext cx="4619637" cy="341046"/>
        </a:xfrm>
        <a:prstGeom prst="rect">
          <a:avLst/>
        </a:prstGeom>
      </xdr:spPr>
      <xdr:txBody>
        <a:bodyPr wrap="none" fromWordArt="1">
          <a:prstTxWarp prst="textPlain">
            <a:avLst>
              <a:gd name="adj" fmla="val 50000"/>
            </a:avLst>
          </a:prstTxWarp>
        </a:bodyPr>
        <a:lstStyle/>
        <a:p>
          <a:pPr algn="ctr" rtl="0"/>
          <a:r>
            <a:rPr lang="fr-FR" sz="1100" b="0" kern="10" spc="0">
              <a:ln w="9525">
                <a:solidFill>
                  <a:srgbClr val="003300"/>
                </a:solidFill>
                <a:round/>
                <a:headEnd/>
                <a:tailEnd/>
              </a:ln>
              <a:solidFill>
                <a:sysClr val="windowText" lastClr="000000"/>
              </a:solidFill>
              <a:effectLst/>
              <a:latin typeface="Arial" pitchFamily="34" charset="0"/>
              <a:cs typeface="Arial" pitchFamily="34" charset="0"/>
            </a:rPr>
            <a:t>Compte</a:t>
          </a:r>
          <a:r>
            <a:rPr lang="fr-FR" sz="1100" b="0" kern="10" spc="0" baseline="0">
              <a:ln w="9525">
                <a:solidFill>
                  <a:srgbClr val="003300"/>
                </a:solidFill>
                <a:round/>
                <a:headEnd/>
                <a:tailEnd/>
              </a:ln>
              <a:solidFill>
                <a:sysClr val="windowText" lastClr="000000"/>
              </a:solidFill>
              <a:effectLst/>
              <a:latin typeface="Arial" pitchFamily="34" charset="0"/>
              <a:cs typeface="Arial" pitchFamily="34" charset="0"/>
            </a:rPr>
            <a:t> Rendu de Mission</a:t>
          </a:r>
          <a:endParaRPr lang="fr-FR" sz="1100" b="0" kern="10" spc="0">
            <a:ln w="9525">
              <a:solidFill>
                <a:srgbClr val="003300"/>
              </a:solidFill>
              <a:round/>
              <a:headEnd/>
              <a:tailEnd/>
            </a:ln>
            <a:solidFill>
              <a:sysClr val="windowText" lastClr="000000"/>
            </a:solidFill>
            <a:effectLst/>
            <a:latin typeface="Arial" pitchFamily="34" charset="0"/>
            <a:cs typeface="Arial" pitchFamily="34" charset="0"/>
          </a:endParaRPr>
        </a:p>
      </xdr:txBody>
    </xdr:sp>
    <xdr:clientData/>
  </xdr:twoCellAnchor>
  <xdr:twoCellAnchor editAs="oneCell">
    <xdr:from>
      <xdr:col>0</xdr:col>
      <xdr:colOff>30874</xdr:colOff>
      <xdr:row>0</xdr:row>
      <xdr:rowOff>85724</xdr:rowOff>
    </xdr:from>
    <xdr:to>
      <xdr:col>0</xdr:col>
      <xdr:colOff>709448</xdr:colOff>
      <xdr:row>3</xdr:row>
      <xdr:rowOff>295274</xdr:rowOff>
    </xdr:to>
    <xdr:pic>
      <xdr:nvPicPr>
        <xdr:cNvPr id="5" name="Image 4" descr="C:\Users\sont11003\Desktop\sonatrach.png">
          <a:extLst>
            <a:ext uri="{FF2B5EF4-FFF2-40B4-BE49-F238E27FC236}">
              <a16:creationId xmlns:a16="http://schemas.microsoft.com/office/drawing/2014/main" xmlns="" id="{00000000-0008-0000-0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874" y="85724"/>
          <a:ext cx="678574" cy="866447"/>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47625</xdr:colOff>
      <xdr:row>3</xdr:row>
      <xdr:rowOff>85725</xdr:rowOff>
    </xdr:from>
    <xdr:to>
      <xdr:col>12</xdr:col>
      <xdr:colOff>104775</xdr:colOff>
      <xdr:row>5</xdr:row>
      <xdr:rowOff>85725</xdr:rowOff>
    </xdr:to>
    <xdr:sp macro="" textlink="">
      <xdr:nvSpPr>
        <xdr:cNvPr id="3084" name="WordArt 12">
          <a:extLst>
            <a:ext uri="{FF2B5EF4-FFF2-40B4-BE49-F238E27FC236}">
              <a16:creationId xmlns:a16="http://schemas.microsoft.com/office/drawing/2014/main" xmlns="" id="{00000000-0008-0000-0300-00000C0C0000}"/>
            </a:ext>
          </a:extLst>
        </xdr:cNvPr>
        <xdr:cNvSpPr>
          <a:spLocks noChangeArrowheads="1" noChangeShapeType="1" noTextEdit="1"/>
        </xdr:cNvSpPr>
      </xdr:nvSpPr>
      <xdr:spPr bwMode="auto">
        <a:xfrm>
          <a:off x="1714500" y="771525"/>
          <a:ext cx="4695825" cy="314325"/>
        </a:xfrm>
        <a:prstGeom prst="rect">
          <a:avLst/>
        </a:prstGeom>
      </xdr:spPr>
      <xdr:txBody>
        <a:bodyPr wrap="none" fromWordArt="1">
          <a:prstTxWarp prst="textPlain">
            <a:avLst>
              <a:gd name="adj" fmla="val 50000"/>
            </a:avLst>
          </a:prstTxWarp>
        </a:bodyPr>
        <a:lstStyle/>
        <a:p>
          <a:pPr algn="ctr" rtl="0"/>
          <a:r>
            <a:rPr lang="fr-FR" sz="1800" kern="10" spc="0">
              <a:ln w="9525">
                <a:solidFill>
                  <a:srgbClr val="003300"/>
                </a:solidFill>
                <a:round/>
                <a:headEnd/>
                <a:tailEnd/>
              </a:ln>
              <a:solidFill>
                <a:srgbClr val="800000"/>
              </a:solidFill>
              <a:effectLst/>
              <a:latin typeface="Arial Black"/>
            </a:rPr>
            <a:t>NOTE DE FRAIS " MISSION " ( 1 )</a:t>
          </a:r>
        </a:p>
      </xdr:txBody>
    </xdr:sp>
    <xdr:clientData/>
  </xdr:twoCellAnchor>
  <xdr:twoCellAnchor editAs="oneCell">
    <xdr:from>
      <xdr:col>0</xdr:col>
      <xdr:colOff>66675</xdr:colOff>
      <xdr:row>0</xdr:row>
      <xdr:rowOff>38100</xdr:rowOff>
    </xdr:from>
    <xdr:to>
      <xdr:col>1</xdr:col>
      <xdr:colOff>533400</xdr:colOff>
      <xdr:row>5</xdr:row>
      <xdr:rowOff>142875</xdr:rowOff>
    </xdr:to>
    <xdr:pic>
      <xdr:nvPicPr>
        <xdr:cNvPr id="4" name="Image 3" descr="C:\Users\sont11003\Desktop\sonatrach.png">
          <a:extLst>
            <a:ext uri="{FF2B5EF4-FFF2-40B4-BE49-F238E27FC236}">
              <a16:creationId xmlns:a16="http://schemas.microsoft.com/office/drawing/2014/main" xmlns="" id="{00000000-0008-0000-0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38100"/>
          <a:ext cx="742950" cy="1104900"/>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85724</xdr:colOff>
      <xdr:row>0</xdr:row>
      <xdr:rowOff>57150</xdr:rowOff>
    </xdr:from>
    <xdr:to>
      <xdr:col>0</xdr:col>
      <xdr:colOff>704849</xdr:colOff>
      <xdr:row>3</xdr:row>
      <xdr:rowOff>219075</xdr:rowOff>
    </xdr:to>
    <xdr:pic>
      <xdr:nvPicPr>
        <xdr:cNvPr id="2" name="Image 1" descr="C:\Users\sont11003\Desktop\sonatrach.png">
          <a:extLst>
            <a:ext uri="{FF2B5EF4-FFF2-40B4-BE49-F238E27FC236}">
              <a16:creationId xmlns:a16="http://schemas.microsoft.com/office/drawing/2014/main" xmlns="" id="{F17918C7-9E78-48F2-B01A-E38B60FD5701}"/>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4" y="57150"/>
          <a:ext cx="619125" cy="781050"/>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76199</xdr:colOff>
      <xdr:row>0</xdr:row>
      <xdr:rowOff>0</xdr:rowOff>
    </xdr:from>
    <xdr:to>
      <xdr:col>1</xdr:col>
      <xdr:colOff>257174</xdr:colOff>
      <xdr:row>4</xdr:row>
      <xdr:rowOff>200025</xdr:rowOff>
    </xdr:to>
    <xdr:pic>
      <xdr:nvPicPr>
        <xdr:cNvPr id="7" name="Image 6" descr="C:\Users\sont11003\Desktop\sonatrach.png">
          <a:extLst>
            <a:ext uri="{FF2B5EF4-FFF2-40B4-BE49-F238E27FC236}">
              <a16:creationId xmlns:a16="http://schemas.microsoft.com/office/drawing/2014/main" xmlns="" id="{A1ACA02E-7B30-44A3-A051-261518F703AF}"/>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199" y="0"/>
          <a:ext cx="1000125" cy="1104900"/>
        </a:xfrm>
        <a:prstGeom prst="rect">
          <a:avLst/>
        </a:prstGeom>
        <a:noFill/>
        <a:ln>
          <a:noFill/>
        </a:ln>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
  <sheetViews>
    <sheetView showGridLines="0" showRowColHeaders="0" showZeros="0" showOutlineSymbols="0" topLeftCell="B17749" zoomScaleNormal="80" zoomScaleSheetLayoutView="70" workbookViewId="0"/>
  </sheetViews>
  <sheetFormatPr defaultColWidth="10.7109375" defaultRowHeight="12.75" x14ac:dyDescent="0.2"/>
  <sheetData/>
  <phoneticPr fontId="3" type="noConversion"/>
  <pageMargins left="0.78740157499999996" right="0.78740157499999996" top="0.984251969" bottom="0.984251969" header="0.4921259845" footer="0.492125984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rgb="FFFF0000"/>
    <pageSetUpPr fitToPage="1"/>
  </sheetPr>
  <dimension ref="A1:P89"/>
  <sheetViews>
    <sheetView tabSelected="1" view="pageBreakPreview" topLeftCell="A3" zoomScaleSheetLayoutView="100" workbookViewId="0">
      <selection activeCell="B74" sqref="B74"/>
    </sheetView>
  </sheetViews>
  <sheetFormatPr defaultColWidth="10.7109375" defaultRowHeight="12.75" x14ac:dyDescent="0.2"/>
  <cols>
    <col min="1" max="1" width="23.5703125" style="27" customWidth="1"/>
    <col min="2" max="2" width="22.7109375" style="27" customWidth="1"/>
    <col min="3" max="3" width="3" style="27" hidden="1" customWidth="1"/>
    <col min="4" max="4" width="3.28515625" style="27" hidden="1" customWidth="1"/>
    <col min="5" max="5" width="12.5703125" style="27" customWidth="1"/>
    <col min="6" max="6" width="10.7109375" style="27" customWidth="1"/>
    <col min="7" max="7" width="13.28515625" style="27" customWidth="1"/>
    <col min="8" max="8" width="10.7109375" style="28" customWidth="1"/>
    <col min="9" max="9" width="3.5703125" style="27" customWidth="1"/>
    <col min="10" max="10" width="4.7109375" style="27" customWidth="1"/>
    <col min="11" max="11" width="9" style="27" customWidth="1"/>
    <col min="12" max="12" width="10.7109375" style="27" customWidth="1"/>
    <col min="13" max="13" width="13" style="27" customWidth="1"/>
    <col min="14" max="14" width="10.7109375" style="27" customWidth="1"/>
    <col min="15" max="16384" width="10.7109375" style="27"/>
  </cols>
  <sheetData>
    <row r="1" spans="1:14" ht="15.75" x14ac:dyDescent="0.25">
      <c r="A1" s="45"/>
      <c r="B1" s="44" t="s">
        <v>75</v>
      </c>
      <c r="C1" s="45"/>
      <c r="D1" s="45"/>
      <c r="E1" s="45"/>
      <c r="F1" s="45"/>
      <c r="G1" s="45"/>
      <c r="H1" s="290"/>
      <c r="I1" s="45"/>
      <c r="J1" s="45"/>
      <c r="K1" s="45"/>
      <c r="L1" s="45"/>
      <c r="M1" s="45"/>
      <c r="N1" s="45"/>
    </row>
    <row r="2" spans="1:14" ht="17.45" customHeight="1" x14ac:dyDescent="0.25">
      <c r="A2" s="46"/>
      <c r="B2" s="404" t="s">
        <v>157</v>
      </c>
      <c r="C2" s="404"/>
      <c r="D2" s="404"/>
      <c r="E2" s="404"/>
      <c r="F2" s="404"/>
      <c r="G2" s="46"/>
      <c r="H2" s="46"/>
      <c r="I2" s="46"/>
      <c r="J2" s="46"/>
      <c r="K2" s="46"/>
      <c r="L2" s="46"/>
      <c r="M2" s="46"/>
      <c r="N2" s="46"/>
    </row>
    <row r="3" spans="1:14" ht="15.75" x14ac:dyDescent="0.25">
      <c r="A3" s="47"/>
      <c r="B3" s="44" t="s">
        <v>137</v>
      </c>
      <c r="C3" s="47"/>
      <c r="D3" s="47"/>
      <c r="E3" s="47"/>
      <c r="F3" s="47"/>
      <c r="G3" s="47"/>
      <c r="H3" s="291"/>
      <c r="I3" s="47"/>
      <c r="J3" s="47"/>
      <c r="K3" s="47"/>
      <c r="L3" s="47"/>
      <c r="M3" s="47"/>
      <c r="N3" s="47"/>
    </row>
    <row r="4" spans="1:14" x14ac:dyDescent="0.2">
      <c r="A4" s="292"/>
      <c r="B4" s="292"/>
      <c r="C4" s="292"/>
      <c r="D4" s="292"/>
      <c r="E4" s="292"/>
      <c r="F4" s="292"/>
      <c r="G4" s="292"/>
      <c r="H4" s="292"/>
      <c r="I4" s="292"/>
      <c r="J4" s="292"/>
      <c r="K4" s="292"/>
      <c r="L4" s="292"/>
      <c r="M4" s="292"/>
      <c r="N4" s="292"/>
    </row>
    <row r="6" spans="1:14" ht="16.5" thickBot="1" x14ac:dyDescent="0.3">
      <c r="A6" s="121"/>
      <c r="B6" s="121"/>
      <c r="C6" s="121"/>
      <c r="D6" s="121"/>
      <c r="E6" s="121"/>
      <c r="F6" s="121"/>
      <c r="G6" s="121"/>
      <c r="H6" s="121"/>
      <c r="I6" s="121"/>
      <c r="J6" s="121"/>
      <c r="K6" s="121"/>
      <c r="L6" s="121"/>
      <c r="M6" s="121"/>
      <c r="N6" s="121"/>
    </row>
    <row r="7" spans="1:14" x14ac:dyDescent="0.2">
      <c r="A7" s="58" t="s">
        <v>51</v>
      </c>
      <c r="B7" s="331" t="s">
        <v>193</v>
      </c>
      <c r="C7" s="331"/>
      <c r="D7" s="331"/>
      <c r="E7" s="331"/>
      <c r="F7" s="331"/>
      <c r="G7" s="332"/>
      <c r="H7" s="107" t="s">
        <v>136</v>
      </c>
      <c r="I7" s="61"/>
      <c r="J7" s="336" t="s">
        <v>186</v>
      </c>
      <c r="K7" s="336"/>
      <c r="L7" s="336"/>
      <c r="M7" s="336"/>
      <c r="N7" s="337"/>
    </row>
    <row r="8" spans="1:14" ht="13.5" customHeight="1" x14ac:dyDescent="0.2">
      <c r="A8" s="59" t="s">
        <v>53</v>
      </c>
      <c r="B8" s="333" t="s">
        <v>185</v>
      </c>
      <c r="C8" s="333"/>
      <c r="D8" s="333"/>
      <c r="E8" s="333"/>
      <c r="F8" s="333"/>
      <c r="G8" s="334"/>
      <c r="H8" s="106" t="s">
        <v>117</v>
      </c>
      <c r="I8" s="62"/>
      <c r="J8" s="344" t="s">
        <v>156</v>
      </c>
      <c r="K8" s="345"/>
      <c r="L8" s="345"/>
      <c r="M8" s="57" t="s">
        <v>150</v>
      </c>
      <c r="N8" s="321" t="s">
        <v>192</v>
      </c>
    </row>
    <row r="9" spans="1:14" ht="13.5" customHeight="1" thickBot="1" x14ac:dyDescent="0.25">
      <c r="A9" s="63" t="s">
        <v>52</v>
      </c>
      <c r="B9" s="335" t="s">
        <v>182</v>
      </c>
      <c r="C9" s="335"/>
      <c r="D9" s="335"/>
      <c r="E9" s="335"/>
      <c r="F9" s="64" t="s">
        <v>46</v>
      </c>
      <c r="G9" s="105">
        <v>20</v>
      </c>
      <c r="H9" s="357" t="s">
        <v>175</v>
      </c>
      <c r="I9" s="358"/>
      <c r="J9" s="359"/>
      <c r="K9" s="320" t="s">
        <v>187</v>
      </c>
      <c r="L9" s="60" t="s">
        <v>62</v>
      </c>
      <c r="M9" s="355" t="s">
        <v>194</v>
      </c>
      <c r="N9" s="356"/>
    </row>
    <row r="10" spans="1:14" x14ac:dyDescent="0.2">
      <c r="A10" s="66" t="s">
        <v>5</v>
      </c>
      <c r="B10" s="67"/>
      <c r="C10" s="67"/>
      <c r="D10" s="67"/>
      <c r="E10" s="68" t="s">
        <v>50</v>
      </c>
      <c r="F10" s="69">
        <v>45787</v>
      </c>
      <c r="G10" s="68" t="s">
        <v>15</v>
      </c>
      <c r="H10" s="324" t="s">
        <v>180</v>
      </c>
      <c r="I10" s="68" t="s">
        <v>48</v>
      </c>
      <c r="J10" s="324" t="s">
        <v>176</v>
      </c>
      <c r="K10" s="68" t="s">
        <v>49</v>
      </c>
      <c r="L10" s="71"/>
      <c r="M10" s="71"/>
      <c r="N10" s="72"/>
    </row>
    <row r="11" spans="1:14" x14ac:dyDescent="0.2">
      <c r="A11" s="7" t="s">
        <v>177</v>
      </c>
      <c r="B11" s="8"/>
      <c r="C11" s="8"/>
      <c r="D11" s="8"/>
      <c r="E11" s="9"/>
      <c r="F11" s="55">
        <v>45787</v>
      </c>
      <c r="G11" s="9" t="s">
        <v>15</v>
      </c>
      <c r="H11" s="322" t="s">
        <v>179</v>
      </c>
      <c r="I11" s="9" t="s">
        <v>48</v>
      </c>
      <c r="J11" s="322" t="s">
        <v>176</v>
      </c>
      <c r="K11" s="9" t="s">
        <v>49</v>
      </c>
      <c r="L11" s="10"/>
      <c r="M11" s="10"/>
      <c r="N11" s="56"/>
    </row>
    <row r="12" spans="1:14" ht="13.5" thickBot="1" x14ac:dyDescent="0.25">
      <c r="A12" s="12" t="s">
        <v>108</v>
      </c>
      <c r="B12" s="13"/>
      <c r="C12" s="13"/>
      <c r="D12" s="13"/>
      <c r="E12" s="14"/>
      <c r="F12" s="65">
        <v>45793</v>
      </c>
      <c r="G12" s="14" t="s">
        <v>15</v>
      </c>
      <c r="H12" s="323" t="s">
        <v>180</v>
      </c>
      <c r="I12" s="14" t="s">
        <v>48</v>
      </c>
      <c r="J12" s="323" t="s">
        <v>176</v>
      </c>
      <c r="K12" s="14" t="s">
        <v>49</v>
      </c>
      <c r="L12" s="15"/>
      <c r="M12" s="75"/>
      <c r="N12" s="16"/>
    </row>
    <row r="13" spans="1:14" ht="13.5" thickBot="1" x14ac:dyDescent="0.25">
      <c r="A13" s="66" t="s">
        <v>6</v>
      </c>
      <c r="B13" s="67"/>
      <c r="C13" s="67"/>
      <c r="D13" s="67"/>
      <c r="E13" s="68" t="s">
        <v>50</v>
      </c>
      <c r="F13" s="69">
        <v>45793</v>
      </c>
      <c r="G13" s="68" t="s">
        <v>15</v>
      </c>
      <c r="H13" s="108" t="s">
        <v>179</v>
      </c>
      <c r="I13" s="68" t="s">
        <v>48</v>
      </c>
      <c r="J13" s="70" t="s">
        <v>176</v>
      </c>
      <c r="K13" s="68" t="s">
        <v>49</v>
      </c>
      <c r="L13" s="71"/>
      <c r="M13" s="74"/>
      <c r="N13" s="73"/>
    </row>
    <row r="14" spans="1:14" ht="13.5" thickBot="1" x14ac:dyDescent="0.25">
      <c r="A14" s="8"/>
      <c r="B14" s="8"/>
      <c r="C14" s="8"/>
      <c r="D14" s="8"/>
      <c r="E14" s="9"/>
      <c r="F14" s="17"/>
      <c r="G14" s="9"/>
      <c r="H14" s="10"/>
      <c r="I14" s="10"/>
      <c r="J14" s="10"/>
      <c r="K14" s="11"/>
      <c r="L14" s="10"/>
      <c r="M14" s="18"/>
      <c r="N14" s="18"/>
    </row>
    <row r="15" spans="1:14" x14ac:dyDescent="0.2">
      <c r="A15" s="6" t="s">
        <v>112</v>
      </c>
      <c r="B15" s="346" t="s">
        <v>195</v>
      </c>
      <c r="C15" s="346"/>
      <c r="D15" s="346"/>
      <c r="E15" s="346"/>
      <c r="F15" s="346"/>
      <c r="G15" s="346"/>
      <c r="H15" s="346"/>
      <c r="I15" s="346"/>
      <c r="J15" s="346"/>
      <c r="K15" s="346"/>
      <c r="L15" s="346"/>
      <c r="M15" s="346"/>
      <c r="N15" s="347"/>
    </row>
    <row r="16" spans="1:14" ht="16.5" thickBot="1" x14ac:dyDescent="0.25">
      <c r="A16" s="352"/>
      <c r="B16" s="353"/>
      <c r="C16" s="353"/>
      <c r="D16" s="353"/>
      <c r="E16" s="353"/>
      <c r="F16" s="353"/>
      <c r="G16" s="353"/>
      <c r="H16" s="353"/>
      <c r="I16" s="353"/>
      <c r="J16" s="353"/>
      <c r="K16" s="353"/>
      <c r="L16" s="353"/>
      <c r="M16" s="353"/>
      <c r="N16" s="354"/>
    </row>
    <row r="17" spans="1:16" x14ac:dyDescent="0.2">
      <c r="A17" s="338" t="s">
        <v>62</v>
      </c>
      <c r="B17" s="339"/>
      <c r="C17" s="327" t="s">
        <v>32</v>
      </c>
      <c r="D17" s="327" t="s">
        <v>16</v>
      </c>
      <c r="E17" s="165" t="s">
        <v>0</v>
      </c>
      <c r="F17" s="165" t="s">
        <v>2</v>
      </c>
      <c r="G17" s="165" t="s">
        <v>1</v>
      </c>
      <c r="H17" s="165" t="s">
        <v>2</v>
      </c>
      <c r="I17" s="293"/>
      <c r="J17" s="329" t="s">
        <v>3</v>
      </c>
      <c r="K17" s="330"/>
      <c r="L17" s="165" t="s">
        <v>19</v>
      </c>
      <c r="M17" s="165" t="s">
        <v>4</v>
      </c>
      <c r="N17" s="165" t="s">
        <v>31</v>
      </c>
    </row>
    <row r="18" spans="1:16" ht="13.5" thickBot="1" x14ac:dyDescent="0.25">
      <c r="A18" s="340"/>
      <c r="B18" s="341"/>
      <c r="C18" s="328"/>
      <c r="D18" s="328"/>
      <c r="E18" s="165" t="s">
        <v>17</v>
      </c>
      <c r="F18" s="165" t="s">
        <v>18</v>
      </c>
      <c r="G18" s="165" t="s">
        <v>68</v>
      </c>
      <c r="H18" s="165" t="s">
        <v>18</v>
      </c>
      <c r="I18" s="293"/>
      <c r="J18" s="329" t="s">
        <v>17</v>
      </c>
      <c r="K18" s="330"/>
      <c r="L18" s="165" t="s">
        <v>18</v>
      </c>
      <c r="M18" s="165" t="s">
        <v>20</v>
      </c>
      <c r="N18" s="165" t="s">
        <v>40</v>
      </c>
    </row>
    <row r="19" spans="1:16" ht="12.75" customHeight="1" x14ac:dyDescent="0.2">
      <c r="A19" s="342">
        <f>'COMPTE RENDU A TIRER'!A28</f>
        <v>45787</v>
      </c>
      <c r="B19" s="343"/>
      <c r="C19" s="313" t="str">
        <f>TEXT(D19," JJJJ ")</f>
        <v xml:space="preserve"> JJJJ </v>
      </c>
      <c r="D19" s="314">
        <f>F10</f>
        <v>45787</v>
      </c>
      <c r="E19" s="76" t="s">
        <v>188</v>
      </c>
      <c r="F19" s="77" t="s">
        <v>152</v>
      </c>
      <c r="G19" s="76" t="s">
        <v>189</v>
      </c>
      <c r="H19" s="77" t="s">
        <v>181</v>
      </c>
      <c r="I19" s="31"/>
      <c r="J19" s="325" t="s">
        <v>189</v>
      </c>
      <c r="K19" s="326"/>
      <c r="L19" s="77" t="s">
        <v>181</v>
      </c>
      <c r="M19" s="4"/>
      <c r="N19" s="5"/>
      <c r="P19" s="294"/>
    </row>
    <row r="20" spans="1:16" ht="12.75" customHeight="1" x14ac:dyDescent="0.2">
      <c r="A20" s="360">
        <f>'COMPTE RENDU A TIRER'!A29</f>
        <v>45788</v>
      </c>
      <c r="B20" s="361"/>
      <c r="C20" s="315" t="str">
        <f t="shared" ref="C20:C35" si="0">TEXT(D20,"JJJJ")</f>
        <v>JJJJ</v>
      </c>
      <c r="D20" s="316">
        <f>IF((D19)&lt;F13,(D19+1)," ")</f>
        <v>45788</v>
      </c>
      <c r="E20" s="76" t="s">
        <v>189</v>
      </c>
      <c r="F20" s="77" t="s">
        <v>181</v>
      </c>
      <c r="G20" s="76" t="s">
        <v>189</v>
      </c>
      <c r="H20" s="77" t="s">
        <v>181</v>
      </c>
      <c r="I20" s="31"/>
      <c r="J20" s="325" t="s">
        <v>189</v>
      </c>
      <c r="K20" s="326"/>
      <c r="L20" s="77" t="s">
        <v>181</v>
      </c>
      <c r="M20" s="109"/>
      <c r="N20" s="81"/>
      <c r="P20" s="294"/>
    </row>
    <row r="21" spans="1:16" ht="12.75" customHeight="1" x14ac:dyDescent="0.2">
      <c r="A21" s="360">
        <f>'COMPTE RENDU A TIRER'!A30</f>
        <v>45789</v>
      </c>
      <c r="B21" s="361"/>
      <c r="C21" s="317" t="str">
        <f>TEXT(D21," JJJJ ")</f>
        <v xml:space="preserve"> JJJJ </v>
      </c>
      <c r="D21" s="316">
        <f>IF((D20)&lt;F13,(D20+1)," ")</f>
        <v>45789</v>
      </c>
      <c r="E21" s="76" t="s">
        <v>189</v>
      </c>
      <c r="F21" s="77" t="s">
        <v>181</v>
      </c>
      <c r="G21" s="76" t="s">
        <v>189</v>
      </c>
      <c r="H21" s="77" t="s">
        <v>181</v>
      </c>
      <c r="I21" s="31"/>
      <c r="J21" s="325" t="s">
        <v>189</v>
      </c>
      <c r="K21" s="326"/>
      <c r="L21" s="77" t="s">
        <v>181</v>
      </c>
      <c r="M21" s="109"/>
      <c r="N21" s="81"/>
      <c r="P21" s="294"/>
    </row>
    <row r="22" spans="1:16" ht="12.75" customHeight="1" x14ac:dyDescent="0.2">
      <c r="A22" s="360">
        <f>'COMPTE RENDU A TIRER'!A31</f>
        <v>45790</v>
      </c>
      <c r="B22" s="361"/>
      <c r="C22" s="317" t="str">
        <f t="shared" ref="C22:C24" si="1">TEXT(D22," JJJJ ")</f>
        <v xml:space="preserve"> JJJJ </v>
      </c>
      <c r="D22" s="316">
        <f>IF((D21)&lt;F13,(D21+1)," ")</f>
        <v>45790</v>
      </c>
      <c r="E22" s="76" t="s">
        <v>189</v>
      </c>
      <c r="F22" s="77" t="s">
        <v>181</v>
      </c>
      <c r="G22" s="76" t="s">
        <v>189</v>
      </c>
      <c r="H22" s="77" t="s">
        <v>181</v>
      </c>
      <c r="I22" s="31"/>
      <c r="J22" s="325" t="s">
        <v>189</v>
      </c>
      <c r="K22" s="326"/>
      <c r="L22" s="77" t="s">
        <v>181</v>
      </c>
      <c r="M22" s="109"/>
      <c r="N22" s="81"/>
      <c r="P22" s="294"/>
    </row>
    <row r="23" spans="1:16" ht="12.75" customHeight="1" x14ac:dyDescent="0.2">
      <c r="A23" s="360">
        <f>'COMPTE RENDU A TIRER'!A32</f>
        <v>45791</v>
      </c>
      <c r="B23" s="361"/>
      <c r="C23" s="317" t="str">
        <f t="shared" si="1"/>
        <v xml:space="preserve"> JJJJ </v>
      </c>
      <c r="D23" s="316">
        <f>IF((D22)&lt;F13,(D22+1)," ")</f>
        <v>45791</v>
      </c>
      <c r="E23" s="76" t="s">
        <v>189</v>
      </c>
      <c r="F23" s="77" t="s">
        <v>181</v>
      </c>
      <c r="G23" s="76" t="s">
        <v>189</v>
      </c>
      <c r="H23" s="77" t="s">
        <v>181</v>
      </c>
      <c r="I23" s="31"/>
      <c r="J23" s="325" t="s">
        <v>189</v>
      </c>
      <c r="K23" s="326"/>
      <c r="L23" s="77" t="s">
        <v>181</v>
      </c>
      <c r="M23" s="109"/>
      <c r="N23" s="81"/>
      <c r="P23" s="294"/>
    </row>
    <row r="24" spans="1:16" ht="12.75" customHeight="1" x14ac:dyDescent="0.2">
      <c r="A24" s="360">
        <f>'COMPTE RENDU A TIRER'!A33</f>
        <v>45792</v>
      </c>
      <c r="B24" s="361"/>
      <c r="C24" s="317" t="str">
        <f t="shared" si="1"/>
        <v xml:space="preserve"> JJJJ </v>
      </c>
      <c r="D24" s="316">
        <f>IF((D23)&lt;F13,(D23+1)," ")</f>
        <v>45792</v>
      </c>
      <c r="E24" s="76" t="s">
        <v>189</v>
      </c>
      <c r="F24" s="77" t="s">
        <v>181</v>
      </c>
      <c r="G24" s="76" t="s">
        <v>189</v>
      </c>
      <c r="H24" s="77" t="s">
        <v>181</v>
      </c>
      <c r="I24" s="31"/>
      <c r="J24" s="325" t="s">
        <v>189</v>
      </c>
      <c r="K24" s="326"/>
      <c r="L24" s="77" t="s">
        <v>181</v>
      </c>
      <c r="M24" s="109"/>
      <c r="N24" s="81"/>
      <c r="P24" s="294"/>
    </row>
    <row r="25" spans="1:16" ht="12.75" customHeight="1" x14ac:dyDescent="0.2">
      <c r="A25" s="360">
        <f>'COMPTE RENDU A TIRER'!A34</f>
        <v>45793</v>
      </c>
      <c r="B25" s="361"/>
      <c r="C25" s="318" t="str">
        <f t="shared" si="0"/>
        <v>JJJJ</v>
      </c>
      <c r="D25" s="316">
        <f>IF((D24)&lt;F13,(D24+1)," ")</f>
        <v>45793</v>
      </c>
      <c r="E25" s="76" t="s">
        <v>188</v>
      </c>
      <c r="F25" s="77" t="s">
        <v>152</v>
      </c>
      <c r="G25" s="76"/>
      <c r="H25" s="77"/>
      <c r="I25" s="31"/>
      <c r="J25" s="325"/>
      <c r="K25" s="326"/>
      <c r="L25" s="77"/>
      <c r="M25" s="109"/>
      <c r="N25" s="81"/>
      <c r="P25" s="294"/>
    </row>
    <row r="26" spans="1:16" ht="12.75" customHeight="1" x14ac:dyDescent="0.2">
      <c r="A26" s="360" t="str">
        <f>'COMPTE RENDU A TIRER'!A35</f>
        <v xml:space="preserve"> </v>
      </c>
      <c r="B26" s="361"/>
      <c r="C26" s="318" t="str">
        <f t="shared" si="0"/>
        <v xml:space="preserve"> </v>
      </c>
      <c r="D26" s="316" t="str">
        <f>IF((D25)&lt;F13,(D25+1)," ")</f>
        <v xml:space="preserve"> </v>
      </c>
      <c r="E26" s="76"/>
      <c r="F26" s="77"/>
      <c r="G26" s="76"/>
      <c r="H26" s="77"/>
      <c r="I26" s="31"/>
      <c r="J26" s="325"/>
      <c r="K26" s="326"/>
      <c r="L26" s="77"/>
      <c r="M26" s="109"/>
      <c r="N26" s="81"/>
    </row>
    <row r="27" spans="1:16" ht="12.75" customHeight="1" x14ac:dyDescent="0.2">
      <c r="A27" s="360" t="str">
        <f>'COMPTE RENDU A TIRER'!A36</f>
        <v xml:space="preserve"> </v>
      </c>
      <c r="B27" s="361"/>
      <c r="C27" s="318" t="str">
        <f t="shared" si="0"/>
        <v xml:space="preserve"> </v>
      </c>
      <c r="D27" s="316" t="str">
        <f>IF((D26)&lt;F13,(D26+1)," ")</f>
        <v xml:space="preserve"> </v>
      </c>
      <c r="E27" s="76"/>
      <c r="F27" s="77"/>
      <c r="G27" s="76"/>
      <c r="H27" s="77"/>
      <c r="I27" s="31"/>
      <c r="J27" s="325"/>
      <c r="K27" s="326"/>
      <c r="L27" s="77"/>
      <c r="M27" s="109"/>
      <c r="N27" s="81"/>
    </row>
    <row r="28" spans="1:16" ht="12.75" customHeight="1" x14ac:dyDescent="0.2">
      <c r="A28" s="360" t="str">
        <f>'COMPTE RENDU A TIRER'!A37</f>
        <v xml:space="preserve"> </v>
      </c>
      <c r="B28" s="361"/>
      <c r="C28" s="318" t="str">
        <f t="shared" si="0"/>
        <v xml:space="preserve"> </v>
      </c>
      <c r="D28" s="316" t="str">
        <f>IF((D27)&lt;F13,(D27+1)," ")</f>
        <v xml:space="preserve"> </v>
      </c>
      <c r="E28" s="76"/>
      <c r="F28" s="77"/>
      <c r="G28" s="76"/>
      <c r="H28" s="77"/>
      <c r="I28" s="31"/>
      <c r="J28" s="325"/>
      <c r="K28" s="326"/>
      <c r="L28" s="77"/>
      <c r="M28" s="109"/>
      <c r="N28" s="81"/>
    </row>
    <row r="29" spans="1:16" ht="12.75" customHeight="1" x14ac:dyDescent="0.2">
      <c r="A29" s="360" t="str">
        <f>'COMPTE RENDU A TIRER'!A38</f>
        <v xml:space="preserve"> </v>
      </c>
      <c r="B29" s="361"/>
      <c r="C29" s="318" t="str">
        <f t="shared" si="0"/>
        <v xml:space="preserve"> </v>
      </c>
      <c r="D29" s="316" t="str">
        <f>IF((D28)&lt;F13,(D28+1)," ")</f>
        <v xml:space="preserve"> </v>
      </c>
      <c r="E29" s="76"/>
      <c r="F29" s="77"/>
      <c r="G29" s="76"/>
      <c r="H29" s="77"/>
      <c r="I29" s="31"/>
      <c r="J29" s="325"/>
      <c r="K29" s="326"/>
      <c r="L29" s="77"/>
      <c r="M29" s="109"/>
      <c r="N29" s="81"/>
    </row>
    <row r="30" spans="1:16" ht="12.75" customHeight="1" x14ac:dyDescent="0.2">
      <c r="A30" s="360" t="str">
        <f>'COMPTE RENDU A TIRER'!A39</f>
        <v xml:space="preserve"> </v>
      </c>
      <c r="B30" s="361"/>
      <c r="C30" s="318" t="str">
        <f t="shared" si="0"/>
        <v xml:space="preserve"> </v>
      </c>
      <c r="D30" s="316" t="str">
        <f>IF((D29)&lt;F12,(D29+1)," ")</f>
        <v xml:space="preserve"> </v>
      </c>
      <c r="E30" s="76"/>
      <c r="F30" s="77"/>
      <c r="G30" s="76"/>
      <c r="H30" s="77"/>
      <c r="I30" s="31"/>
      <c r="J30" s="325"/>
      <c r="K30" s="326"/>
      <c r="L30" s="77"/>
      <c r="M30" s="109"/>
      <c r="N30" s="81"/>
    </row>
    <row r="31" spans="1:16" x14ac:dyDescent="0.2">
      <c r="A31" s="360" t="str">
        <f>'COMPTE RENDU A TIRER'!A40</f>
        <v xml:space="preserve"> </v>
      </c>
      <c r="B31" s="361"/>
      <c r="C31" s="318" t="str">
        <f t="shared" si="0"/>
        <v xml:space="preserve"> </v>
      </c>
      <c r="D31" s="316" t="str">
        <f>IF((D30)&lt;F12,(D30+1)," ")</f>
        <v xml:space="preserve"> </v>
      </c>
      <c r="E31" s="76"/>
      <c r="F31" s="77"/>
      <c r="G31" s="76"/>
      <c r="H31" s="77"/>
      <c r="I31" s="31"/>
      <c r="J31" s="325"/>
      <c r="K31" s="326"/>
      <c r="L31" s="77"/>
      <c r="M31" s="109"/>
      <c r="N31" s="81"/>
    </row>
    <row r="32" spans="1:16" x14ac:dyDescent="0.2">
      <c r="A32" s="360" t="str">
        <f>'COMPTE RENDU A TIRER'!A41</f>
        <v xml:space="preserve"> </v>
      </c>
      <c r="B32" s="361"/>
      <c r="C32" s="318" t="str">
        <f t="shared" si="0"/>
        <v xml:space="preserve"> </v>
      </c>
      <c r="D32" s="316" t="str">
        <f>IF((D31)&lt;F12,(D31+1)," ")</f>
        <v xml:space="preserve"> </v>
      </c>
      <c r="E32" s="80"/>
      <c r="F32" s="77"/>
      <c r="G32" s="76"/>
      <c r="H32" s="77"/>
      <c r="I32" s="31"/>
      <c r="J32" s="325"/>
      <c r="K32" s="326"/>
      <c r="L32" s="77"/>
      <c r="M32" s="109"/>
      <c r="N32" s="81"/>
    </row>
    <row r="33" spans="1:14" x14ac:dyDescent="0.2">
      <c r="A33" s="360" t="str">
        <f>'COMPTE RENDU A TIRER'!A42</f>
        <v xml:space="preserve"> </v>
      </c>
      <c r="B33" s="361"/>
      <c r="C33" s="318" t="str">
        <f t="shared" si="0"/>
        <v xml:space="preserve"> </v>
      </c>
      <c r="D33" s="316" t="str">
        <f>IF((D32)&lt;F12,(D32+1)," ")</f>
        <v xml:space="preserve"> </v>
      </c>
      <c r="E33" s="80"/>
      <c r="F33" s="77"/>
      <c r="G33" s="76"/>
      <c r="H33" s="77"/>
      <c r="I33" s="31"/>
      <c r="J33" s="325"/>
      <c r="K33" s="326"/>
      <c r="L33" s="77"/>
      <c r="M33" s="109"/>
      <c r="N33" s="81"/>
    </row>
    <row r="34" spans="1:14" x14ac:dyDescent="0.2">
      <c r="A34" s="360" t="str">
        <f>'COMPTE RENDU A TIRER'!A43</f>
        <v xml:space="preserve"> </v>
      </c>
      <c r="B34" s="361"/>
      <c r="C34" s="318" t="str">
        <f t="shared" si="0"/>
        <v xml:space="preserve"> </v>
      </c>
      <c r="D34" s="316" t="str">
        <f>IF((D33)&lt;F12,(D33+1)," ")</f>
        <v xml:space="preserve"> </v>
      </c>
      <c r="E34" s="80"/>
      <c r="F34" s="77"/>
      <c r="G34" s="76"/>
      <c r="H34" s="77"/>
      <c r="I34" s="31"/>
      <c r="J34" s="325"/>
      <c r="K34" s="326"/>
      <c r="L34" s="77"/>
      <c r="M34" s="109"/>
      <c r="N34" s="81"/>
    </row>
    <row r="35" spans="1:14" x14ac:dyDescent="0.2">
      <c r="A35" s="360" t="str">
        <f>'COMPTE RENDU A TIRER'!A44</f>
        <v xml:space="preserve"> </v>
      </c>
      <c r="B35" s="361"/>
      <c r="C35" s="318" t="str">
        <f t="shared" si="0"/>
        <v xml:space="preserve"> </v>
      </c>
      <c r="D35" s="316" t="str">
        <f>IF((D34)&lt;F12,(D34+1)," ")</f>
        <v xml:space="preserve"> </v>
      </c>
      <c r="E35" s="80"/>
      <c r="F35" s="77"/>
      <c r="G35" s="76"/>
      <c r="H35" s="77"/>
      <c r="I35" s="31"/>
      <c r="J35" s="325"/>
      <c r="K35" s="326"/>
      <c r="L35" s="77"/>
      <c r="M35" s="109"/>
      <c r="N35" s="81"/>
    </row>
    <row r="36" spans="1:14" x14ac:dyDescent="0.2">
      <c r="A36" s="385"/>
      <c r="B36" s="386"/>
      <c r="C36" s="295"/>
      <c r="D36" s="79"/>
      <c r="E36" s="82"/>
      <c r="F36" s="77"/>
      <c r="G36" s="78"/>
      <c r="H36" s="77"/>
      <c r="I36" s="31"/>
      <c r="J36" s="325"/>
      <c r="K36" s="326"/>
      <c r="L36" s="77"/>
      <c r="M36" s="109"/>
      <c r="N36" s="81"/>
    </row>
    <row r="37" spans="1:14" x14ac:dyDescent="0.2">
      <c r="A37" s="385"/>
      <c r="B37" s="386"/>
      <c r="C37" s="295"/>
      <c r="D37" s="79"/>
      <c r="E37" s="80"/>
      <c r="F37" s="77"/>
      <c r="G37" s="76"/>
      <c r="H37" s="77"/>
      <c r="I37" s="31"/>
      <c r="J37" s="325"/>
      <c r="K37" s="326"/>
      <c r="L37" s="77"/>
      <c r="M37" s="109"/>
      <c r="N37" s="81"/>
    </row>
    <row r="38" spans="1:14" x14ac:dyDescent="0.2">
      <c r="A38" s="385"/>
      <c r="B38" s="386"/>
      <c r="C38" s="295"/>
      <c r="D38" s="79"/>
      <c r="E38" s="80"/>
      <c r="F38" s="77"/>
      <c r="G38" s="76"/>
      <c r="H38" s="77"/>
      <c r="I38" s="31"/>
      <c r="J38" s="325"/>
      <c r="K38" s="326"/>
      <c r="L38" s="77"/>
      <c r="M38" s="109"/>
      <c r="N38" s="81"/>
    </row>
    <row r="39" spans="1:14" x14ac:dyDescent="0.2">
      <c r="A39" s="385"/>
      <c r="B39" s="386"/>
      <c r="C39" s="295"/>
      <c r="D39" s="79"/>
      <c r="E39" s="80"/>
      <c r="F39" s="77"/>
      <c r="G39" s="76"/>
      <c r="H39" s="77"/>
      <c r="I39" s="31"/>
      <c r="J39" s="325"/>
      <c r="K39" s="326"/>
      <c r="L39" s="77"/>
      <c r="M39" s="109"/>
      <c r="N39" s="81"/>
    </row>
    <row r="40" spans="1:14" x14ac:dyDescent="0.2">
      <c r="A40" s="385"/>
      <c r="B40" s="386"/>
      <c r="C40" s="295"/>
      <c r="D40" s="79"/>
      <c r="E40" s="80"/>
      <c r="F40" s="77"/>
      <c r="G40" s="76"/>
      <c r="H40" s="77"/>
      <c r="I40" s="31"/>
      <c r="J40" s="325"/>
      <c r="K40" s="326"/>
      <c r="L40" s="77"/>
      <c r="M40" s="109"/>
      <c r="N40" s="81"/>
    </row>
    <row r="41" spans="1:14" x14ac:dyDescent="0.2">
      <c r="A41" s="385"/>
      <c r="B41" s="386"/>
      <c r="C41" s="295"/>
      <c r="D41" s="79"/>
      <c r="E41" s="80"/>
      <c r="F41" s="77"/>
      <c r="G41" s="76"/>
      <c r="H41" s="77"/>
      <c r="I41" s="31"/>
      <c r="J41" s="325"/>
      <c r="K41" s="326"/>
      <c r="L41" s="77"/>
      <c r="M41" s="109"/>
      <c r="N41" s="81"/>
    </row>
    <row r="42" spans="1:14" x14ac:dyDescent="0.2">
      <c r="A42" s="385"/>
      <c r="B42" s="386"/>
      <c r="C42" s="295"/>
      <c r="D42" s="79"/>
      <c r="E42" s="80"/>
      <c r="F42" s="77"/>
      <c r="G42" s="76"/>
      <c r="H42" s="77"/>
      <c r="I42" s="31"/>
      <c r="J42" s="325"/>
      <c r="K42" s="326"/>
      <c r="L42" s="77"/>
      <c r="M42" s="109"/>
      <c r="N42" s="81"/>
    </row>
    <row r="43" spans="1:14" x14ac:dyDescent="0.2">
      <c r="A43" s="385"/>
      <c r="B43" s="386"/>
      <c r="C43" s="295"/>
      <c r="D43" s="79"/>
      <c r="E43" s="80"/>
      <c r="F43" s="77"/>
      <c r="G43" s="76"/>
      <c r="H43" s="77"/>
      <c r="I43" s="31"/>
      <c r="J43" s="325"/>
      <c r="K43" s="326"/>
      <c r="L43" s="77"/>
      <c r="M43" s="109"/>
      <c r="N43" s="81"/>
    </row>
    <row r="44" spans="1:14" x14ac:dyDescent="0.2">
      <c r="A44" s="385"/>
      <c r="B44" s="386"/>
      <c r="C44" s="295"/>
      <c r="D44" s="79"/>
      <c r="E44" s="80"/>
      <c r="F44" s="77"/>
      <c r="G44" s="76"/>
      <c r="H44" s="77"/>
      <c r="I44" s="31"/>
      <c r="J44" s="325"/>
      <c r="K44" s="326"/>
      <c r="L44" s="77"/>
      <c r="M44" s="109"/>
      <c r="N44" s="81"/>
    </row>
    <row r="45" spans="1:14" x14ac:dyDescent="0.2">
      <c r="A45" s="385"/>
      <c r="B45" s="386"/>
      <c r="C45" s="295"/>
      <c r="D45" s="79"/>
      <c r="E45" s="80"/>
      <c r="F45" s="77"/>
      <c r="G45" s="76"/>
      <c r="H45" s="77"/>
      <c r="I45" s="31"/>
      <c r="J45" s="325"/>
      <c r="K45" s="326"/>
      <c r="L45" s="77"/>
      <c r="M45" s="109"/>
      <c r="N45" s="81"/>
    </row>
    <row r="46" spans="1:14" x14ac:dyDescent="0.2">
      <c r="A46" s="385"/>
      <c r="B46" s="386"/>
      <c r="C46" s="295"/>
      <c r="D46" s="79"/>
      <c r="E46" s="80"/>
      <c r="F46" s="77"/>
      <c r="G46" s="76"/>
      <c r="H46" s="77"/>
      <c r="I46" s="31"/>
      <c r="J46" s="325"/>
      <c r="K46" s="326"/>
      <c r="L46" s="77"/>
      <c r="M46" s="109"/>
      <c r="N46" s="81"/>
    </row>
    <row r="47" spans="1:14" x14ac:dyDescent="0.2">
      <c r="A47" s="394"/>
      <c r="B47" s="395"/>
      <c r="C47" s="295"/>
      <c r="D47" s="79"/>
      <c r="E47" s="80"/>
      <c r="F47" s="77"/>
      <c r="G47" s="76"/>
      <c r="H47" s="77"/>
      <c r="I47" s="31"/>
      <c r="J47" s="325"/>
      <c r="K47" s="326"/>
      <c r="L47" s="77"/>
      <c r="M47" s="109"/>
      <c r="N47" s="81"/>
    </row>
    <row r="48" spans="1:14" x14ac:dyDescent="0.2">
      <c r="A48" s="394"/>
      <c r="B48" s="395"/>
      <c r="C48" s="295"/>
      <c r="D48" s="79"/>
      <c r="E48" s="80"/>
      <c r="F48" s="77"/>
      <c r="G48" s="76"/>
      <c r="H48" s="77"/>
      <c r="I48" s="31"/>
      <c r="J48" s="325"/>
      <c r="K48" s="326"/>
      <c r="L48" s="77"/>
      <c r="M48" s="109"/>
      <c r="N48" s="81"/>
    </row>
    <row r="49" spans="1:14" ht="13.5" thickBot="1" x14ac:dyDescent="0.25">
      <c r="A49" s="396"/>
      <c r="B49" s="397"/>
      <c r="C49" s="296"/>
      <c r="D49" s="297"/>
      <c r="E49" s="83"/>
      <c r="F49" s="84"/>
      <c r="G49" s="85"/>
      <c r="H49" s="85"/>
      <c r="I49" s="86"/>
      <c r="J49" s="403"/>
      <c r="K49" s="403"/>
      <c r="L49" s="85"/>
      <c r="M49" s="87"/>
      <c r="N49" s="88"/>
    </row>
    <row r="50" spans="1:14" ht="13.5" thickBot="1" x14ac:dyDescent="0.25">
      <c r="A50" s="19"/>
      <c r="B50" s="19"/>
      <c r="C50" s="21"/>
      <c r="D50" s="21"/>
      <c r="E50" s="21"/>
      <c r="F50" s="21"/>
      <c r="G50" s="21"/>
      <c r="H50" s="29"/>
      <c r="I50" s="21"/>
      <c r="J50" s="21"/>
      <c r="K50" s="21"/>
      <c r="L50" s="21"/>
      <c r="M50" s="21"/>
      <c r="N50" s="21"/>
    </row>
    <row r="51" spans="1:14" s="21" customFormat="1" ht="13.5" thickBot="1" x14ac:dyDescent="0.25">
      <c r="A51" s="390" t="s">
        <v>69</v>
      </c>
      <c r="B51" s="391"/>
      <c r="C51" s="51"/>
      <c r="D51" s="51"/>
      <c r="E51" s="401" t="s">
        <v>73</v>
      </c>
      <c r="F51" s="19"/>
      <c r="G51" s="19"/>
      <c r="H51" s="89" t="s">
        <v>155</v>
      </c>
      <c r="I51" s="19"/>
      <c r="J51" s="398">
        <f ca="1">NOW()</f>
        <v>45809.461419907406</v>
      </c>
      <c r="K51" s="399"/>
      <c r="L51" s="400"/>
    </row>
    <row r="52" spans="1:14" s="21" customFormat="1" x14ac:dyDescent="0.2">
      <c r="A52" s="392"/>
      <c r="B52" s="393"/>
      <c r="C52" s="22"/>
      <c r="D52" s="22"/>
      <c r="E52" s="402"/>
      <c r="F52" s="19"/>
      <c r="G52" s="19"/>
      <c r="H52" s="20"/>
    </row>
    <row r="53" spans="1:14" s="21" customFormat="1" x14ac:dyDescent="0.2">
      <c r="A53" s="389" t="s">
        <v>70</v>
      </c>
      <c r="B53" s="388"/>
      <c r="C53" s="19"/>
      <c r="D53" s="19"/>
      <c r="E53" s="52"/>
      <c r="F53" s="19"/>
      <c r="G53" s="19"/>
      <c r="H53" s="20"/>
    </row>
    <row r="54" spans="1:14" s="21" customFormat="1" x14ac:dyDescent="0.2">
      <c r="A54" s="387" t="s">
        <v>72</v>
      </c>
      <c r="B54" s="388"/>
      <c r="C54" s="19"/>
      <c r="D54" s="19"/>
      <c r="E54" s="53"/>
      <c r="F54" s="19"/>
      <c r="G54" s="19"/>
      <c r="H54" s="20"/>
    </row>
    <row r="55" spans="1:14" s="21" customFormat="1" ht="13.5" thickBot="1" x14ac:dyDescent="0.25">
      <c r="A55" s="374" t="s">
        <v>71</v>
      </c>
      <c r="B55" s="375"/>
      <c r="C55" s="54"/>
      <c r="D55" s="54"/>
      <c r="E55" s="319">
        <f>SUM(E53:E54)</f>
        <v>0</v>
      </c>
      <c r="F55" s="19"/>
      <c r="G55" s="19"/>
      <c r="H55" s="20"/>
    </row>
    <row r="56" spans="1:14" s="21" customFormat="1" x14ac:dyDescent="0.2">
      <c r="A56" s="111"/>
      <c r="B56" s="112"/>
      <c r="C56" s="19"/>
      <c r="D56" s="19"/>
      <c r="E56" s="23"/>
      <c r="F56" s="19"/>
      <c r="G56" s="19"/>
      <c r="H56" s="20"/>
    </row>
    <row r="57" spans="1:14" s="21" customFormat="1" ht="18" customHeight="1" x14ac:dyDescent="0.2">
      <c r="A57" s="362" t="s">
        <v>109</v>
      </c>
      <c r="B57" s="363"/>
      <c r="C57" s="364"/>
      <c r="D57" s="364"/>
      <c r="E57" s="364"/>
      <c r="F57" s="19"/>
      <c r="G57" s="19"/>
      <c r="H57" s="20"/>
    </row>
    <row r="58" spans="1:14" s="21" customFormat="1" ht="12" customHeight="1" thickBot="1" x14ac:dyDescent="0.25">
      <c r="A58" s="114"/>
      <c r="B58" s="115"/>
      <c r="C58" s="116"/>
      <c r="D58" s="116"/>
      <c r="E58" s="116"/>
      <c r="F58" s="19"/>
      <c r="G58" s="19"/>
      <c r="H58" s="20"/>
    </row>
    <row r="59" spans="1:14" s="21" customFormat="1" ht="18" customHeight="1" thickBot="1" x14ac:dyDescent="0.25">
      <c r="A59" s="298" t="s">
        <v>110</v>
      </c>
      <c r="B59" s="383" t="s">
        <v>196</v>
      </c>
      <c r="C59" s="384"/>
      <c r="D59" s="96"/>
      <c r="E59" s="97"/>
      <c r="F59" s="19"/>
      <c r="G59" s="19"/>
      <c r="H59" s="20"/>
    </row>
    <row r="60" spans="1:14" s="21" customFormat="1" ht="18" customHeight="1" thickBot="1" x14ac:dyDescent="0.25">
      <c r="A60" s="299" t="s">
        <v>111</v>
      </c>
      <c r="B60" s="383" t="s">
        <v>196</v>
      </c>
      <c r="C60" s="384"/>
      <c r="D60" s="98"/>
      <c r="E60" s="99"/>
      <c r="F60" s="19"/>
      <c r="G60" s="19"/>
      <c r="H60" s="20"/>
    </row>
    <row r="61" spans="1:14" s="21" customFormat="1" x14ac:dyDescent="0.2">
      <c r="A61" s="111"/>
      <c r="B61" s="112"/>
      <c r="C61" s="19"/>
      <c r="D61" s="19"/>
      <c r="E61" s="23"/>
      <c r="F61" s="19"/>
      <c r="G61" s="19"/>
      <c r="H61" s="20"/>
    </row>
    <row r="62" spans="1:14" s="34" customFormat="1" ht="18" customHeight="1" x14ac:dyDescent="0.2">
      <c r="A62" s="372" t="s">
        <v>130</v>
      </c>
      <c r="B62" s="372"/>
      <c r="C62" s="372"/>
      <c r="D62" s="372"/>
      <c r="E62" s="372"/>
      <c r="F62" s="372"/>
      <c r="G62" s="372"/>
      <c r="H62" s="372"/>
    </row>
    <row r="63" spans="1:14" s="21" customFormat="1" ht="13.5" thickBot="1" x14ac:dyDescent="0.25">
      <c r="A63" s="376"/>
      <c r="B63" s="377"/>
      <c r="C63" s="19"/>
      <c r="D63" s="19"/>
      <c r="E63" s="23"/>
      <c r="F63" s="19"/>
      <c r="G63" s="19"/>
      <c r="H63" s="20"/>
    </row>
    <row r="64" spans="1:14" s="21" customFormat="1" x14ac:dyDescent="0.2">
      <c r="A64" s="379" t="s">
        <v>63</v>
      </c>
      <c r="B64" s="380"/>
      <c r="C64" s="51"/>
      <c r="D64" s="51"/>
      <c r="E64" s="5" t="s">
        <v>56</v>
      </c>
      <c r="F64" s="19"/>
      <c r="G64" s="19"/>
      <c r="H64" s="20"/>
    </row>
    <row r="65" spans="1:14" s="21" customFormat="1" x14ac:dyDescent="0.2">
      <c r="A65" s="381"/>
      <c r="B65" s="382"/>
      <c r="C65" s="19"/>
      <c r="D65" s="19"/>
      <c r="E65" s="100">
        <v>0</v>
      </c>
      <c r="F65" s="19"/>
      <c r="G65" s="19"/>
      <c r="H65" s="20"/>
    </row>
    <row r="66" spans="1:14" s="21" customFormat="1" x14ac:dyDescent="0.2">
      <c r="A66" s="378"/>
      <c r="B66" s="369"/>
      <c r="C66" s="24"/>
      <c r="D66" s="24"/>
      <c r="E66" s="100"/>
      <c r="F66" s="19"/>
      <c r="G66" s="19"/>
      <c r="H66" s="20"/>
    </row>
    <row r="67" spans="1:14" s="21" customFormat="1" x14ac:dyDescent="0.2">
      <c r="A67" s="368"/>
      <c r="B67" s="369"/>
      <c r="C67" s="24"/>
      <c r="D67" s="24"/>
      <c r="E67" s="100"/>
      <c r="F67" s="19"/>
      <c r="G67" s="19"/>
      <c r="H67" s="20"/>
    </row>
    <row r="68" spans="1:14" s="21" customFormat="1" x14ac:dyDescent="0.2">
      <c r="A68" s="368"/>
      <c r="B68" s="369"/>
      <c r="C68" s="24"/>
      <c r="D68" s="24"/>
      <c r="E68" s="100"/>
      <c r="F68" s="19"/>
      <c r="G68" s="19" t="s">
        <v>126</v>
      </c>
      <c r="H68" s="20"/>
    </row>
    <row r="69" spans="1:14" s="21" customFormat="1" ht="13.5" thickBot="1" x14ac:dyDescent="0.25">
      <c r="A69" s="370" t="s">
        <v>43</v>
      </c>
      <c r="B69" s="371"/>
      <c r="C69" s="196"/>
      <c r="D69" s="196"/>
      <c r="E69" s="101">
        <f>SUM(E65:E68)</f>
        <v>0</v>
      </c>
      <c r="F69" s="19"/>
      <c r="G69" s="19"/>
      <c r="H69" s="20"/>
    </row>
    <row r="70" spans="1:14" s="21" customFormat="1" x14ac:dyDescent="0.2">
      <c r="A70" s="111"/>
      <c r="B70" s="25"/>
      <c r="C70" s="19"/>
      <c r="D70" s="19"/>
      <c r="E70" s="20"/>
      <c r="F70" s="19"/>
      <c r="G70" s="19"/>
      <c r="H70" s="20"/>
    </row>
    <row r="71" spans="1:14" s="34" customFormat="1" ht="18" x14ac:dyDescent="0.2">
      <c r="A71" s="372" t="s">
        <v>131</v>
      </c>
      <c r="B71" s="373"/>
      <c r="C71" s="373"/>
      <c r="D71" s="373"/>
      <c r="E71" s="373"/>
      <c r="F71" s="373"/>
      <c r="G71" s="373"/>
      <c r="H71" s="373"/>
    </row>
    <row r="72" spans="1:14" s="21" customFormat="1" ht="13.5" thickBot="1" x14ac:dyDescent="0.25">
      <c r="A72" s="26"/>
      <c r="B72" s="26"/>
      <c r="C72" s="19"/>
      <c r="D72" s="19"/>
      <c r="E72" s="23"/>
      <c r="F72" s="19"/>
      <c r="G72" s="19"/>
      <c r="H72" s="20"/>
    </row>
    <row r="73" spans="1:14" s="21" customFormat="1" ht="12.75" customHeight="1" x14ac:dyDescent="0.2">
      <c r="A73" s="300" t="s">
        <v>62</v>
      </c>
      <c r="B73" s="301" t="s">
        <v>63</v>
      </c>
      <c r="C73" s="302"/>
      <c r="D73" s="302"/>
      <c r="E73" s="303" t="s">
        <v>59</v>
      </c>
      <c r="F73" s="304">
        <v>7</v>
      </c>
      <c r="G73" s="305"/>
      <c r="H73" s="306" t="s">
        <v>56</v>
      </c>
    </row>
    <row r="74" spans="1:14" ht="12.75" customHeight="1" x14ac:dyDescent="0.2">
      <c r="A74" s="102" t="s">
        <v>183</v>
      </c>
      <c r="B74" s="32" t="s">
        <v>190</v>
      </c>
      <c r="C74" s="48"/>
      <c r="D74" s="48"/>
      <c r="E74" s="49">
        <v>310</v>
      </c>
      <c r="F74" s="405" t="s">
        <v>125</v>
      </c>
      <c r="G74" s="405"/>
      <c r="H74" s="103">
        <f>E74*F73</f>
        <v>2170</v>
      </c>
      <c r="I74" s="21"/>
      <c r="J74" s="21"/>
      <c r="K74" s="21"/>
      <c r="L74" s="21"/>
      <c r="M74" s="21"/>
      <c r="N74" s="21"/>
    </row>
    <row r="75" spans="1:14" ht="12.75" customHeight="1" x14ac:dyDescent="0.2">
      <c r="A75" s="102" t="s">
        <v>184</v>
      </c>
      <c r="B75" s="32" t="s">
        <v>191</v>
      </c>
      <c r="C75" s="48"/>
      <c r="D75" s="48"/>
      <c r="E75" s="49">
        <v>310</v>
      </c>
      <c r="F75" s="405" t="s">
        <v>125</v>
      </c>
      <c r="G75" s="405"/>
      <c r="H75" s="103">
        <f>+F73*E75</f>
        <v>2170</v>
      </c>
      <c r="I75" s="21"/>
      <c r="J75" s="21"/>
      <c r="K75" s="21"/>
      <c r="L75" s="21"/>
      <c r="M75" s="21"/>
      <c r="N75" s="21"/>
    </row>
    <row r="76" spans="1:14" x14ac:dyDescent="0.2">
      <c r="A76" s="102"/>
      <c r="B76" s="32"/>
      <c r="C76" s="48"/>
      <c r="D76" s="48"/>
      <c r="E76" s="50"/>
      <c r="F76" s="405" t="s">
        <v>125</v>
      </c>
      <c r="G76" s="405"/>
      <c r="H76" s="103">
        <f>+F73*E76</f>
        <v>0</v>
      </c>
      <c r="I76" s="21"/>
      <c r="J76" s="21"/>
      <c r="K76" s="21"/>
      <c r="L76" s="21"/>
      <c r="M76" s="21"/>
      <c r="N76" s="21"/>
    </row>
    <row r="77" spans="1:14" x14ac:dyDescent="0.2">
      <c r="A77" s="102"/>
      <c r="B77" s="33"/>
      <c r="C77" s="48"/>
      <c r="D77" s="48"/>
      <c r="E77" s="50"/>
      <c r="F77" s="405" t="s">
        <v>125</v>
      </c>
      <c r="G77" s="405"/>
      <c r="H77" s="103">
        <f>+E77*F73</f>
        <v>0</v>
      </c>
      <c r="I77" s="21"/>
      <c r="J77" s="21"/>
      <c r="K77" s="21"/>
      <c r="L77" s="21"/>
      <c r="M77" s="21"/>
      <c r="N77" s="21"/>
    </row>
    <row r="78" spans="1:14" ht="13.5" thickBot="1" x14ac:dyDescent="0.25">
      <c r="A78" s="350" t="s">
        <v>43</v>
      </c>
      <c r="B78" s="351"/>
      <c r="C78" s="307"/>
      <c r="D78" s="307"/>
      <c r="E78" s="104">
        <f>SUM(E74:E77)</f>
        <v>620</v>
      </c>
      <c r="F78" s="406"/>
      <c r="G78" s="406"/>
      <c r="H78" s="101">
        <f>SUM(H74:H77)</f>
        <v>4340</v>
      </c>
      <c r="I78" s="21"/>
      <c r="J78" s="21"/>
      <c r="K78" s="21"/>
      <c r="L78" s="21"/>
      <c r="M78" s="21"/>
      <c r="N78" s="21"/>
    </row>
    <row r="79" spans="1:14" ht="13.5" thickBot="1" x14ac:dyDescent="0.25"/>
    <row r="80" spans="1:14" x14ac:dyDescent="0.2">
      <c r="A80" s="90"/>
      <c r="B80" s="51"/>
      <c r="C80" s="91"/>
      <c r="D80" s="91"/>
      <c r="E80" s="92" t="s">
        <v>56</v>
      </c>
      <c r="F80" s="21"/>
      <c r="G80" s="21"/>
      <c r="H80" s="29"/>
      <c r="I80" s="21"/>
      <c r="J80" s="21"/>
      <c r="K80" s="21"/>
      <c r="L80" s="21"/>
      <c r="M80" s="21"/>
      <c r="N80" s="21"/>
    </row>
    <row r="81" spans="1:9" ht="13.5" thickBot="1" x14ac:dyDescent="0.25">
      <c r="A81" s="93" t="s">
        <v>55</v>
      </c>
      <c r="B81" s="94"/>
      <c r="C81" s="94"/>
      <c r="D81" s="94"/>
      <c r="E81" s="95">
        <v>0</v>
      </c>
      <c r="F81" s="20"/>
      <c r="G81" s="30"/>
      <c r="H81" s="30"/>
    </row>
    <row r="82" spans="1:9" ht="13.5" thickBot="1" x14ac:dyDescent="0.25"/>
    <row r="83" spans="1:9" s="35" customFormat="1" ht="16.5" customHeight="1" thickBot="1" x14ac:dyDescent="0.25">
      <c r="A83" s="308" t="s">
        <v>134</v>
      </c>
      <c r="B83" s="309" t="s">
        <v>132</v>
      </c>
      <c r="H83" s="36"/>
    </row>
    <row r="84" spans="1:9" s="35" customFormat="1" ht="16.5" thickBot="1" x14ac:dyDescent="0.25">
      <c r="B84" s="37"/>
      <c r="C84" s="349"/>
      <c r="D84" s="349"/>
      <c r="E84" s="349"/>
      <c r="F84" s="349"/>
      <c r="G84" s="349"/>
      <c r="H84" s="349"/>
      <c r="I84" s="349"/>
    </row>
    <row r="85" spans="1:9" s="35" customFormat="1" ht="16.5" thickBot="1" x14ac:dyDescent="0.25">
      <c r="A85" s="310" t="s">
        <v>134</v>
      </c>
      <c r="B85" s="311" t="s">
        <v>133</v>
      </c>
      <c r="C85" s="279"/>
      <c r="D85" s="312"/>
      <c r="E85" s="37"/>
      <c r="F85" s="37"/>
      <c r="G85" s="37"/>
      <c r="H85" s="348"/>
      <c r="I85" s="348"/>
    </row>
    <row r="86" spans="1:9" ht="15.75" x14ac:dyDescent="0.25">
      <c r="A86" s="254"/>
      <c r="B86" s="254"/>
      <c r="C86" s="366"/>
      <c r="D86" s="366"/>
      <c r="E86" s="255"/>
      <c r="F86" s="255"/>
      <c r="G86" s="255"/>
      <c r="H86" s="367"/>
      <c r="I86" s="367"/>
    </row>
    <row r="87" spans="1:9" ht="15.75" x14ac:dyDescent="0.25">
      <c r="A87" s="254"/>
      <c r="B87" s="254"/>
      <c r="C87" s="366"/>
      <c r="D87" s="366"/>
      <c r="E87" s="365"/>
      <c r="F87" s="365"/>
      <c r="G87" s="365"/>
      <c r="H87" s="367"/>
      <c r="I87" s="367"/>
    </row>
    <row r="88" spans="1:9" ht="15.75" x14ac:dyDescent="0.25">
      <c r="A88" s="254"/>
      <c r="B88" s="254"/>
      <c r="C88" s="366"/>
      <c r="D88" s="366"/>
      <c r="E88" s="365"/>
      <c r="F88" s="365"/>
      <c r="G88" s="365"/>
      <c r="H88" s="367"/>
      <c r="I88" s="367"/>
    </row>
    <row r="89" spans="1:9" ht="15.75" x14ac:dyDescent="0.25">
      <c r="A89" s="254"/>
      <c r="B89" s="254"/>
      <c r="C89" s="256"/>
      <c r="D89" s="256"/>
      <c r="E89" s="365"/>
      <c r="F89" s="365"/>
      <c r="G89" s="365"/>
      <c r="H89" s="367"/>
      <c r="I89" s="367"/>
    </row>
  </sheetData>
  <mergeCells count="115">
    <mergeCell ref="B2:F2"/>
    <mergeCell ref="J35:K35"/>
    <mergeCell ref="J42:K42"/>
    <mergeCell ref="F74:G74"/>
    <mergeCell ref="F75:G75"/>
    <mergeCell ref="F76:G76"/>
    <mergeCell ref="F77:G77"/>
    <mergeCell ref="F78:G78"/>
    <mergeCell ref="A28:B28"/>
    <mergeCell ref="A29:B29"/>
    <mergeCell ref="A30:B30"/>
    <mergeCell ref="A31:B31"/>
    <mergeCell ref="A32:B32"/>
    <mergeCell ref="A33:B33"/>
    <mergeCell ref="A34:B34"/>
    <mergeCell ref="A35:B35"/>
    <mergeCell ref="A36:B36"/>
    <mergeCell ref="A37:B37"/>
    <mergeCell ref="A38:B38"/>
    <mergeCell ref="A40:B40"/>
    <mergeCell ref="A41:B41"/>
    <mergeCell ref="A42:B42"/>
    <mergeCell ref="A43:B43"/>
    <mergeCell ref="A44:B44"/>
    <mergeCell ref="A45:B45"/>
    <mergeCell ref="A54:B54"/>
    <mergeCell ref="A53:B53"/>
    <mergeCell ref="A51:B52"/>
    <mergeCell ref="A48:B48"/>
    <mergeCell ref="A49:B49"/>
    <mergeCell ref="J36:K36"/>
    <mergeCell ref="J43:K43"/>
    <mergeCell ref="J38:K38"/>
    <mergeCell ref="J39:K39"/>
    <mergeCell ref="J40:K40"/>
    <mergeCell ref="J41:K41"/>
    <mergeCell ref="A46:B46"/>
    <mergeCell ref="A47:B47"/>
    <mergeCell ref="J51:L51"/>
    <mergeCell ref="E51:E52"/>
    <mergeCell ref="A39:B39"/>
    <mergeCell ref="J49:K49"/>
    <mergeCell ref="J44:K44"/>
    <mergeCell ref="J45:K45"/>
    <mergeCell ref="J46:K46"/>
    <mergeCell ref="J47:K47"/>
    <mergeCell ref="J48:K48"/>
    <mergeCell ref="A68:B68"/>
    <mergeCell ref="A69:B69"/>
    <mergeCell ref="A71:H71"/>
    <mergeCell ref="A55:B55"/>
    <mergeCell ref="A63:B63"/>
    <mergeCell ref="A67:B67"/>
    <mergeCell ref="A66:B66"/>
    <mergeCell ref="A64:B64"/>
    <mergeCell ref="A65:B65"/>
    <mergeCell ref="A62:H62"/>
    <mergeCell ref="B59:C59"/>
    <mergeCell ref="B60:C60"/>
    <mergeCell ref="E87:G87"/>
    <mergeCell ref="C88:D88"/>
    <mergeCell ref="E88:G88"/>
    <mergeCell ref="E89:G89"/>
    <mergeCell ref="H89:I89"/>
    <mergeCell ref="H87:I87"/>
    <mergeCell ref="H88:I88"/>
    <mergeCell ref="H86:I86"/>
    <mergeCell ref="C87:D87"/>
    <mergeCell ref="C86:D86"/>
    <mergeCell ref="H85:I85"/>
    <mergeCell ref="E84:G84"/>
    <mergeCell ref="H84:I84"/>
    <mergeCell ref="C84:D84"/>
    <mergeCell ref="A78:B78"/>
    <mergeCell ref="A16:N16"/>
    <mergeCell ref="M9:N9"/>
    <mergeCell ref="H9:J9"/>
    <mergeCell ref="J37:K37"/>
    <mergeCell ref="J32:K32"/>
    <mergeCell ref="J33:K33"/>
    <mergeCell ref="A20:B20"/>
    <mergeCell ref="A21:B21"/>
    <mergeCell ref="A22:B22"/>
    <mergeCell ref="A23:B23"/>
    <mergeCell ref="A24:B24"/>
    <mergeCell ref="A25:B25"/>
    <mergeCell ref="J20:K20"/>
    <mergeCell ref="J34:K34"/>
    <mergeCell ref="A27:B27"/>
    <mergeCell ref="J30:K30"/>
    <mergeCell ref="A26:B26"/>
    <mergeCell ref="J28:K28"/>
    <mergeCell ref="A57:E57"/>
    <mergeCell ref="J29:K29"/>
    <mergeCell ref="C17:C18"/>
    <mergeCell ref="D17:D18"/>
    <mergeCell ref="J17:K17"/>
    <mergeCell ref="J18:K18"/>
    <mergeCell ref="J31:K31"/>
    <mergeCell ref="B7:G7"/>
    <mergeCell ref="B8:G8"/>
    <mergeCell ref="B9:E9"/>
    <mergeCell ref="J7:N7"/>
    <mergeCell ref="J19:K19"/>
    <mergeCell ref="A17:B18"/>
    <mergeCell ref="A19:B19"/>
    <mergeCell ref="J26:K26"/>
    <mergeCell ref="J27:K27"/>
    <mergeCell ref="J25:K25"/>
    <mergeCell ref="J21:K21"/>
    <mergeCell ref="J22:K22"/>
    <mergeCell ref="J23:K23"/>
    <mergeCell ref="J24:K24"/>
    <mergeCell ref="J8:L8"/>
    <mergeCell ref="B15:N15"/>
  </mergeCells>
  <phoneticPr fontId="3" type="noConversion"/>
  <pageMargins left="0" right="0" top="0" bottom="0" header="0.5" footer="0"/>
  <pageSetup scale="73" fitToHeight="0"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60"/>
  <sheetViews>
    <sheetView view="pageLayout" topLeftCell="A7" zoomScaleSheetLayoutView="145" workbookViewId="0">
      <selection activeCell="B32" sqref="B32"/>
    </sheetView>
  </sheetViews>
  <sheetFormatPr defaultColWidth="10.7109375" defaultRowHeight="12.75" x14ac:dyDescent="0.2"/>
  <cols>
    <col min="1" max="1" width="10.42578125" style="27" customWidth="1"/>
    <col min="2" max="2" width="11.5703125" style="27" customWidth="1"/>
    <col min="3" max="8" width="9.28515625" style="27" customWidth="1"/>
    <col min="9" max="9" width="8.5703125" style="27" customWidth="1"/>
    <col min="10" max="10" width="9.85546875" style="27" customWidth="1"/>
    <col min="11" max="11" width="4.140625" style="27" customWidth="1"/>
    <col min="12" max="16384" width="10.7109375" style="27"/>
  </cols>
  <sheetData>
    <row r="1" spans="1:11" ht="15.75" customHeight="1" x14ac:dyDescent="0.25">
      <c r="A1" s="118"/>
      <c r="B1" s="118"/>
      <c r="C1" s="118"/>
      <c r="D1" s="118"/>
      <c r="E1" s="118"/>
      <c r="F1" s="118"/>
      <c r="G1" s="118"/>
      <c r="H1" s="118"/>
      <c r="I1" s="118"/>
      <c r="J1" s="118"/>
    </row>
    <row r="2" spans="1:11" ht="18" x14ac:dyDescent="0.25">
      <c r="A2" s="119"/>
      <c r="B2" s="119"/>
      <c r="C2" s="118"/>
      <c r="D2" s="119"/>
      <c r="E2" s="119"/>
      <c r="F2" s="119"/>
      <c r="G2" s="119"/>
      <c r="H2" s="119"/>
      <c r="I2" s="119"/>
      <c r="J2" s="119"/>
    </row>
    <row r="3" spans="1:11" ht="18" x14ac:dyDescent="0.25">
      <c r="A3" s="118"/>
      <c r="B3" s="118"/>
      <c r="C3" s="118"/>
      <c r="D3" s="118"/>
      <c r="E3" s="118"/>
      <c r="F3" s="118"/>
      <c r="G3" s="118"/>
      <c r="H3" s="118"/>
      <c r="I3" s="118"/>
      <c r="J3" s="118"/>
    </row>
    <row r="4" spans="1:11" ht="24" customHeight="1" x14ac:dyDescent="0.25">
      <c r="A4" s="119"/>
      <c r="B4" s="119"/>
      <c r="C4" s="119"/>
      <c r="D4" s="119"/>
      <c r="E4" s="119"/>
      <c r="F4" s="119"/>
      <c r="G4" s="119"/>
      <c r="H4" s="119"/>
      <c r="I4" s="119"/>
      <c r="J4" s="119"/>
    </row>
    <row r="5" spans="1:11" ht="6" customHeight="1" x14ac:dyDescent="0.25">
      <c r="A5" s="432"/>
      <c r="B5" s="432"/>
      <c r="C5" s="432"/>
      <c r="D5" s="432"/>
      <c r="E5" s="432"/>
      <c r="F5" s="432"/>
      <c r="G5" s="432"/>
      <c r="H5" s="432"/>
      <c r="I5" s="432"/>
      <c r="J5" s="432"/>
    </row>
    <row r="6" spans="1:11" ht="12" customHeight="1" x14ac:dyDescent="0.25">
      <c r="A6" s="428" t="s">
        <v>75</v>
      </c>
      <c r="B6" s="428"/>
      <c r="C6" s="428"/>
      <c r="D6" s="428"/>
      <c r="E6" s="428"/>
      <c r="F6" s="120"/>
      <c r="G6" s="120"/>
      <c r="H6" s="120"/>
      <c r="I6" s="120"/>
      <c r="J6" s="120"/>
    </row>
    <row r="7" spans="1:11" ht="12.75" customHeight="1" x14ac:dyDescent="0.25">
      <c r="A7" s="428" t="s">
        <v>158</v>
      </c>
      <c r="B7" s="428"/>
      <c r="C7" s="428"/>
      <c r="D7" s="428"/>
      <c r="E7" s="428"/>
      <c r="F7" s="428"/>
      <c r="G7" s="121"/>
      <c r="H7" s="121"/>
      <c r="I7" s="121"/>
      <c r="J7" s="121"/>
    </row>
    <row r="8" spans="1:11" x14ac:dyDescent="0.2">
      <c r="A8" s="428"/>
      <c r="B8" s="428"/>
      <c r="C8" s="428"/>
      <c r="D8" s="428"/>
      <c r="E8" s="428"/>
      <c r="F8" s="122" t="s">
        <v>76</v>
      </c>
      <c r="G8" s="122"/>
      <c r="H8" s="135" t="str">
        <f>'MASQUE DE SAISIE'!K9</f>
        <v>191/SP2</v>
      </c>
      <c r="I8" s="123" t="s">
        <v>77</v>
      </c>
      <c r="J8" s="136" t="str">
        <f>+'MASQUE DE SAISIE'!M9</f>
        <v>du 07/05/25</v>
      </c>
    </row>
    <row r="9" spans="1:11" ht="6" customHeight="1" x14ac:dyDescent="0.2">
      <c r="F9" s="124"/>
      <c r="G9" s="124"/>
      <c r="H9" s="21"/>
      <c r="I9" s="21"/>
      <c r="J9" s="21"/>
    </row>
    <row r="10" spans="1:11" x14ac:dyDescent="0.2">
      <c r="A10" s="125" t="s">
        <v>79</v>
      </c>
      <c r="C10" s="137" t="str">
        <f>'MASQUE DE SAISIE'!N8</f>
        <v>63018511</v>
      </c>
      <c r="F10" s="122" t="s">
        <v>80</v>
      </c>
      <c r="G10" s="122"/>
      <c r="H10" s="435" t="str">
        <f>'MASQUE DE SAISIE'!B7</f>
        <v>MALEK MOUHAMMED RIDHA</v>
      </c>
      <c r="I10" s="435"/>
      <c r="J10" s="435"/>
    </row>
    <row r="11" spans="1:11" ht="3.75" customHeight="1" x14ac:dyDescent="0.2">
      <c r="A11" s="126"/>
      <c r="B11" s="434"/>
      <c r="C11" s="434"/>
    </row>
    <row r="12" spans="1:11" x14ac:dyDescent="0.2">
      <c r="A12" s="125" t="s">
        <v>78</v>
      </c>
      <c r="C12" s="38" t="str">
        <f>'MASQUE DE SAISIE'!B8</f>
        <v xml:space="preserve">THECNICIEN MECANICIEN PPL N2 </v>
      </c>
      <c r="D12" s="35"/>
      <c r="E12" s="35"/>
      <c r="F12" s="125" t="s">
        <v>81</v>
      </c>
      <c r="H12" s="411" t="str">
        <f>'MASQUE DE SAISIE'!B9</f>
        <v>SP2 DJAMAA</v>
      </c>
      <c r="I12" s="411"/>
      <c r="J12" s="411"/>
      <c r="K12" s="35"/>
    </row>
    <row r="13" spans="1:11" ht="3.75" customHeight="1" x14ac:dyDescent="0.2"/>
    <row r="14" spans="1:11" ht="14.25" customHeight="1" x14ac:dyDescent="0.2">
      <c r="A14" s="439" t="s">
        <v>82</v>
      </c>
      <c r="B14" s="439"/>
      <c r="C14" s="411" t="str">
        <f>'MASQUE DE SAISIE'!B15</f>
        <v xml:space="preserve">suivre  une formation </v>
      </c>
      <c r="D14" s="411"/>
      <c r="E14" s="411"/>
      <c r="F14" s="411"/>
      <c r="G14" s="411"/>
      <c r="H14" s="411"/>
      <c r="I14" s="411"/>
      <c r="J14" s="411"/>
      <c r="K14" s="411"/>
    </row>
    <row r="15" spans="1:11" ht="15" customHeight="1" x14ac:dyDescent="0.2">
      <c r="A15" s="125" t="s">
        <v>83</v>
      </c>
      <c r="C15" s="411" t="str">
        <f>'MASQUE DE SAISIE'!J7</f>
        <v>CHELGHOUM LAID-BOUMERDES-CHELGHOUM LAID</v>
      </c>
      <c r="D15" s="411"/>
      <c r="E15" s="411"/>
      <c r="F15" s="411"/>
      <c r="G15" s="411"/>
      <c r="H15" s="411"/>
      <c r="I15" s="411"/>
      <c r="J15" s="411"/>
      <c r="K15" s="411"/>
    </row>
    <row r="16" spans="1:11" ht="0.95" customHeight="1" x14ac:dyDescent="0.2">
      <c r="A16" s="127"/>
    </row>
    <row r="17" spans="1:10" ht="23.25" customHeight="1" x14ac:dyDescent="0.2">
      <c r="A17" s="415" t="s">
        <v>84</v>
      </c>
      <c r="B17" s="415"/>
    </row>
    <row r="18" spans="1:10" x14ac:dyDescent="0.2">
      <c r="A18" s="127" t="s">
        <v>113</v>
      </c>
    </row>
    <row r="19" spans="1:10" x14ac:dyDescent="0.2">
      <c r="A19" s="128" t="s">
        <v>85</v>
      </c>
      <c r="B19" s="138">
        <f>'MASQUE DE SAISIE'!F10</f>
        <v>45787</v>
      </c>
      <c r="C19" s="128" t="s">
        <v>86</v>
      </c>
      <c r="D19" s="139" t="str">
        <f>'MASQUE DE SAISIE'!H10</f>
        <v>08</v>
      </c>
      <c r="E19" s="28" t="s">
        <v>104</v>
      </c>
      <c r="F19" s="140" t="str">
        <f>'MASQUE DE SAISIE'!J10</f>
        <v>00</v>
      </c>
      <c r="G19" s="27" t="s">
        <v>105</v>
      </c>
    </row>
    <row r="20" spans="1:10" x14ac:dyDescent="0.2">
      <c r="A20" s="127" t="s">
        <v>114</v>
      </c>
    </row>
    <row r="21" spans="1:10" x14ac:dyDescent="0.2">
      <c r="A21" s="128" t="s">
        <v>85</v>
      </c>
      <c r="B21" s="138">
        <f>'MASQUE DE SAISIE'!F11</f>
        <v>45787</v>
      </c>
      <c r="C21" s="128" t="s">
        <v>86</v>
      </c>
      <c r="D21" s="139" t="str">
        <f>'MASQUE DE SAISIE'!H11</f>
        <v>17</v>
      </c>
      <c r="E21" s="28" t="s">
        <v>104</v>
      </c>
      <c r="F21" s="140" t="str">
        <f>'MASQUE DE SAISIE'!J11</f>
        <v>00</v>
      </c>
      <c r="G21" s="27" t="s">
        <v>105</v>
      </c>
    </row>
    <row r="22" spans="1:10" ht="12" customHeight="1" x14ac:dyDescent="0.2"/>
    <row r="23" spans="1:10" x14ac:dyDescent="0.2">
      <c r="A23" s="433" t="s">
        <v>87</v>
      </c>
      <c r="B23" s="433"/>
      <c r="C23" s="433"/>
      <c r="D23" s="433"/>
      <c r="E23" s="433"/>
      <c r="F23" s="433"/>
      <c r="G23" s="433"/>
      <c r="H23" s="433"/>
      <c r="I23" s="433"/>
      <c r="J23" s="433"/>
    </row>
    <row r="24" spans="1:10" x14ac:dyDescent="0.2">
      <c r="A24" s="430" t="s">
        <v>88</v>
      </c>
      <c r="B24" s="430"/>
      <c r="C24" s="430"/>
      <c r="D24" s="430"/>
      <c r="E24" s="430"/>
      <c r="F24" s="430"/>
      <c r="G24" s="430"/>
      <c r="H24" s="430"/>
      <c r="I24" s="430"/>
      <c r="J24" s="430"/>
    </row>
    <row r="25" spans="1:10" ht="5.0999999999999996" customHeight="1" thickBot="1" x14ac:dyDescent="0.25"/>
    <row r="26" spans="1:10" x14ac:dyDescent="0.2">
      <c r="A26" s="416" t="s">
        <v>89</v>
      </c>
      <c r="B26" s="431" t="s">
        <v>90</v>
      </c>
      <c r="C26" s="431"/>
      <c r="D26" s="431" t="s">
        <v>92</v>
      </c>
      <c r="E26" s="431"/>
      <c r="F26" s="431" t="s">
        <v>93</v>
      </c>
      <c r="G26" s="431"/>
      <c r="H26" s="426" t="s">
        <v>94</v>
      </c>
      <c r="I26" s="426"/>
      <c r="J26" s="436"/>
    </row>
    <row r="27" spans="1:10" ht="37.5" customHeight="1" x14ac:dyDescent="0.2">
      <c r="A27" s="429"/>
      <c r="B27" s="129" t="s">
        <v>91</v>
      </c>
      <c r="C27" s="129" t="s">
        <v>107</v>
      </c>
      <c r="D27" s="129" t="s">
        <v>91</v>
      </c>
      <c r="E27" s="129" t="s">
        <v>107</v>
      </c>
      <c r="F27" s="129" t="s">
        <v>91</v>
      </c>
      <c r="G27" s="129" t="s">
        <v>107</v>
      </c>
      <c r="H27" s="437"/>
      <c r="I27" s="437"/>
      <c r="J27" s="438"/>
    </row>
    <row r="28" spans="1:10" ht="15" customHeight="1" x14ac:dyDescent="0.2">
      <c r="A28" s="141">
        <f>'NOTE DE FRAIS A TIRER'!C15</f>
        <v>45787</v>
      </c>
      <c r="B28" s="142" t="str">
        <f>IF('MASQUE DE SAISIE'!L19=0," ",(IF('MASQUE DE SAISIE'!L19="OUI","X"," ")))</f>
        <v>X</v>
      </c>
      <c r="C28" s="143" t="str">
        <f>IF('MASQUE DE SAISIE'!L19=0," ",(IF('MASQUE DE SAISIE'!L19="NON","X"," ")))</f>
        <v xml:space="preserve"> </v>
      </c>
      <c r="D28" s="143" t="str">
        <f>IF('MASQUE DE SAISIE'!F19=0," ",(IF('MASQUE DE SAISIE'!F19="OUI","X"," ")))</f>
        <v xml:space="preserve"> </v>
      </c>
      <c r="E28" s="143" t="str">
        <f>IF('MASQUE DE SAISIE'!F19=0," ",(IF('MASQUE DE SAISIE'!F19="NON","X"," ")))</f>
        <v>X</v>
      </c>
      <c r="F28" s="143" t="str">
        <f>IF('MASQUE DE SAISIE'!H19=0," ",(IF('MASQUE DE SAISIE'!H19="OUI","X"," ")))</f>
        <v>X</v>
      </c>
      <c r="G28" s="143" t="str">
        <f>IF('MASQUE DE SAISIE'!H19=0," ",(IF('MASQUE DE SAISIE'!H19="NON","X"," ")))</f>
        <v xml:space="preserve"> </v>
      </c>
      <c r="H28" s="408" t="str">
        <f>'MASQUE DE SAISIE'!E19</f>
        <v>SETIF</v>
      </c>
      <c r="I28" s="409"/>
      <c r="J28" s="410"/>
    </row>
    <row r="29" spans="1:10" ht="15" customHeight="1" x14ac:dyDescent="0.2">
      <c r="A29" s="141">
        <f>'NOTE DE FRAIS A TIRER'!C16</f>
        <v>45788</v>
      </c>
      <c r="B29" s="142" t="str">
        <f>IF('MASQUE DE SAISIE'!L20=0," ",(IF('MASQUE DE SAISIE'!L20="OUI","X"," ")))</f>
        <v>X</v>
      </c>
      <c r="C29" s="143" t="str">
        <f>IF('MASQUE DE SAISIE'!L20=0," ",(IF('MASQUE DE SAISIE'!L20="NON","X"," ")))</f>
        <v xml:space="preserve"> </v>
      </c>
      <c r="D29" s="143" t="str">
        <f>IF('MASQUE DE SAISIE'!F20=0," ",(IF('MASQUE DE SAISIE'!F20="OUI","X"," ")))</f>
        <v>X</v>
      </c>
      <c r="E29" s="143" t="str">
        <f>IF('MASQUE DE SAISIE'!F20=0," ",(IF('MASQUE DE SAISIE'!F20="NON","X"," ")))</f>
        <v xml:space="preserve"> </v>
      </c>
      <c r="F29" s="143" t="str">
        <f>IF('MASQUE DE SAISIE'!H20=0," ",(IF('MASQUE DE SAISIE'!H20="OUI","X"," ")))</f>
        <v>X</v>
      </c>
      <c r="G29" s="143" t="str">
        <f>IF('MASQUE DE SAISIE'!H20=0," ",(IF('MASQUE DE SAISIE'!H20="NON","X"," ")))</f>
        <v xml:space="preserve"> </v>
      </c>
      <c r="H29" s="408" t="str">
        <f>'MASQUE DE SAISIE'!E20</f>
        <v>BOUMERDES</v>
      </c>
      <c r="I29" s="409"/>
      <c r="J29" s="410"/>
    </row>
    <row r="30" spans="1:10" ht="15" customHeight="1" x14ac:dyDescent="0.2">
      <c r="A30" s="141">
        <f>'NOTE DE FRAIS A TIRER'!C17</f>
        <v>45789</v>
      </c>
      <c r="B30" s="142" t="str">
        <f>IF('MASQUE DE SAISIE'!L21=0," ",(IF('MASQUE DE SAISIE'!L21="OUI","X"," ")))</f>
        <v>X</v>
      </c>
      <c r="C30" s="143" t="str">
        <f>IF('MASQUE DE SAISIE'!L21=0," ",(IF('MASQUE DE SAISIE'!L21="NON","X"," ")))</f>
        <v xml:space="preserve"> </v>
      </c>
      <c r="D30" s="143" t="str">
        <f>IF('MASQUE DE SAISIE'!F21=0," ",(IF('MASQUE DE SAISIE'!F21="OUI","X"," ")))</f>
        <v>X</v>
      </c>
      <c r="E30" s="143" t="str">
        <f>IF('MASQUE DE SAISIE'!F21=0," ",(IF('MASQUE DE SAISIE'!F21="NON","X"," ")))</f>
        <v xml:space="preserve"> </v>
      </c>
      <c r="F30" s="143" t="str">
        <f>IF('MASQUE DE SAISIE'!H21=0," ",(IF('MASQUE DE SAISIE'!H21="OUI","X"," ")))</f>
        <v>X</v>
      </c>
      <c r="G30" s="143" t="str">
        <f>IF('MASQUE DE SAISIE'!H21=0," ",(IF('MASQUE DE SAISIE'!H21="NON","X"," ")))</f>
        <v xml:space="preserve"> </v>
      </c>
      <c r="H30" s="408" t="str">
        <f>'MASQUE DE SAISIE'!E21</f>
        <v>BOUMERDES</v>
      </c>
      <c r="I30" s="409"/>
      <c r="J30" s="410"/>
    </row>
    <row r="31" spans="1:10" ht="15" customHeight="1" x14ac:dyDescent="0.2">
      <c r="A31" s="141">
        <f>'NOTE DE FRAIS A TIRER'!C18</f>
        <v>45790</v>
      </c>
      <c r="B31" s="142" t="str">
        <f>IF('MASQUE DE SAISIE'!L22=0," ",(IF('MASQUE DE SAISIE'!L22="OUI","X"," ")))</f>
        <v>X</v>
      </c>
      <c r="C31" s="143" t="str">
        <f>IF('MASQUE DE SAISIE'!L22=0," ",(IF('MASQUE DE SAISIE'!L22="NON","X"," ")))</f>
        <v xml:space="preserve"> </v>
      </c>
      <c r="D31" s="143" t="str">
        <f>IF('MASQUE DE SAISIE'!F22=0," ",(IF('MASQUE DE SAISIE'!F22="OUI","X"," ")))</f>
        <v>X</v>
      </c>
      <c r="E31" s="143" t="str">
        <f>IF('MASQUE DE SAISIE'!F22=0," ",(IF('MASQUE DE SAISIE'!F22="NON","X"," ")))</f>
        <v xml:space="preserve"> </v>
      </c>
      <c r="F31" s="143" t="str">
        <f>IF('MASQUE DE SAISIE'!H22=0," ",(IF('MASQUE DE SAISIE'!H22="OUI","X"," ")))</f>
        <v>X</v>
      </c>
      <c r="G31" s="143" t="str">
        <f>IF('MASQUE DE SAISIE'!H22=0," ",(IF('MASQUE DE SAISIE'!H22="NON","X"," ")))</f>
        <v xml:space="preserve"> </v>
      </c>
      <c r="H31" s="408" t="str">
        <f>'MASQUE DE SAISIE'!E22</f>
        <v>BOUMERDES</v>
      </c>
      <c r="I31" s="409"/>
      <c r="J31" s="410"/>
    </row>
    <row r="32" spans="1:10" ht="15" customHeight="1" x14ac:dyDescent="0.2">
      <c r="A32" s="141">
        <f>'NOTE DE FRAIS A TIRER'!C19</f>
        <v>45791</v>
      </c>
      <c r="B32" s="142" t="str">
        <f>IF('MASQUE DE SAISIE'!L23=0," ",(IF('MASQUE DE SAISIE'!L23="OUI","X"," ")))</f>
        <v>X</v>
      </c>
      <c r="C32" s="143" t="str">
        <f>IF('MASQUE DE SAISIE'!L23=0," ",(IF('MASQUE DE SAISIE'!L23="NON","X"," ")))</f>
        <v xml:space="preserve"> </v>
      </c>
      <c r="D32" s="143" t="str">
        <f>IF('MASQUE DE SAISIE'!F23=0," ",(IF('MASQUE DE SAISIE'!F23="OUI","X"," ")))</f>
        <v>X</v>
      </c>
      <c r="E32" s="143" t="str">
        <f>IF('MASQUE DE SAISIE'!F23=0," ",(IF('MASQUE DE SAISIE'!F23="NON","X"," ")))</f>
        <v xml:space="preserve"> </v>
      </c>
      <c r="F32" s="143" t="str">
        <f>IF('MASQUE DE SAISIE'!H23=0," ",(IF('MASQUE DE SAISIE'!H23="OUI","X"," ")))</f>
        <v>X</v>
      </c>
      <c r="G32" s="143" t="str">
        <f>IF('MASQUE DE SAISIE'!H23=0," ",(IF('MASQUE DE SAISIE'!H23="NON","X"," ")))</f>
        <v xml:space="preserve"> </v>
      </c>
      <c r="H32" s="408" t="str">
        <f>'MASQUE DE SAISIE'!E23</f>
        <v>BOUMERDES</v>
      </c>
      <c r="I32" s="409"/>
      <c r="J32" s="410"/>
    </row>
    <row r="33" spans="1:10" ht="15" customHeight="1" x14ac:dyDescent="0.2">
      <c r="A33" s="141">
        <f>'NOTE DE FRAIS A TIRER'!C20</f>
        <v>45792</v>
      </c>
      <c r="B33" s="142" t="str">
        <f>IF('MASQUE DE SAISIE'!L24=0," ",(IF('MASQUE DE SAISIE'!L24="OUI","X"," ")))</f>
        <v>X</v>
      </c>
      <c r="C33" s="143" t="str">
        <f>IF('MASQUE DE SAISIE'!L24=0," ",(IF('MASQUE DE SAISIE'!L24="NON","X"," ")))</f>
        <v xml:space="preserve"> </v>
      </c>
      <c r="D33" s="143" t="str">
        <f>IF('MASQUE DE SAISIE'!F24=0," ",(IF('MASQUE DE SAISIE'!F24="OUI","X"," ")))</f>
        <v>X</v>
      </c>
      <c r="E33" s="143" t="str">
        <f>IF('MASQUE DE SAISIE'!F24=0," ",(IF('MASQUE DE SAISIE'!F24="NON","X"," ")))</f>
        <v xml:space="preserve"> </v>
      </c>
      <c r="F33" s="143" t="str">
        <f>IF('MASQUE DE SAISIE'!H24=0," ",(IF('MASQUE DE SAISIE'!H24="OUI","X"," ")))</f>
        <v>X</v>
      </c>
      <c r="G33" s="143" t="str">
        <f>IF('MASQUE DE SAISIE'!H24=0," ",(IF('MASQUE DE SAISIE'!H24="NON","X"," ")))</f>
        <v xml:space="preserve"> </v>
      </c>
      <c r="H33" s="408" t="str">
        <f>'MASQUE DE SAISIE'!E24</f>
        <v>BOUMERDES</v>
      </c>
      <c r="I33" s="409"/>
      <c r="J33" s="410"/>
    </row>
    <row r="34" spans="1:10" ht="15" customHeight="1" x14ac:dyDescent="0.2">
      <c r="A34" s="141">
        <f>'NOTE DE FRAIS A TIRER'!C21</f>
        <v>45793</v>
      </c>
      <c r="B34" s="142" t="str">
        <f>IF('MASQUE DE SAISIE'!L25=0," ",(IF('MASQUE DE SAISIE'!L25="OUI","X"," ")))</f>
        <v xml:space="preserve"> </v>
      </c>
      <c r="C34" s="143" t="str">
        <f>IF('MASQUE DE SAISIE'!L25=0," ",(IF('MASQUE DE SAISIE'!L25="NON","X"," ")))</f>
        <v xml:space="preserve"> </v>
      </c>
      <c r="D34" s="143" t="str">
        <f>IF('MASQUE DE SAISIE'!F25=0," ",(IF('MASQUE DE SAISIE'!F25="OUI","X"," ")))</f>
        <v xml:space="preserve"> </v>
      </c>
      <c r="E34" s="143" t="str">
        <f>IF('MASQUE DE SAISIE'!F25=0," ",(IF('MASQUE DE SAISIE'!F25="NON","X"," ")))</f>
        <v>X</v>
      </c>
      <c r="F34" s="143" t="str">
        <f>IF('MASQUE DE SAISIE'!H25=0," ",(IF('MASQUE DE SAISIE'!H25="OUI","X"," ")))</f>
        <v xml:space="preserve"> </v>
      </c>
      <c r="G34" s="143" t="str">
        <f>IF('MASQUE DE SAISIE'!H25=0," ",(IF('MASQUE DE SAISIE'!H25="NON","X"," ")))</f>
        <v xml:space="preserve"> </v>
      </c>
      <c r="H34" s="408" t="str">
        <f>'MASQUE DE SAISIE'!E25</f>
        <v>SETIF</v>
      </c>
      <c r="I34" s="409"/>
      <c r="J34" s="410"/>
    </row>
    <row r="35" spans="1:10" ht="9.75" customHeight="1" x14ac:dyDescent="0.2">
      <c r="A35" s="144" t="str">
        <f>'NOTE DE FRAIS A TIRER'!C22</f>
        <v xml:space="preserve"> </v>
      </c>
      <c r="B35" s="142" t="str">
        <f>IF('MASQUE DE SAISIE'!L26=0," ",(IF('MASQUE DE SAISIE'!L26="OUI","X"," ")))</f>
        <v xml:space="preserve"> </v>
      </c>
      <c r="C35" s="143" t="str">
        <f>IF('MASQUE DE SAISIE'!L26=0," ",(IF('MASQUE DE SAISIE'!L26="NON","X"," ")))</f>
        <v xml:space="preserve"> </v>
      </c>
      <c r="D35" s="143" t="str">
        <f>IF('MASQUE DE SAISIE'!F26=0," ",(IF('MASQUE DE SAISIE'!F26="OUI","X"," ")))</f>
        <v xml:space="preserve"> </v>
      </c>
      <c r="E35" s="143" t="str">
        <f>IF('MASQUE DE SAISIE'!F26=0," ",(IF('MASQUE DE SAISIE'!F26="NON","X"," ")))</f>
        <v xml:space="preserve"> </v>
      </c>
      <c r="F35" s="143" t="str">
        <f>IF('MASQUE DE SAISIE'!H26=0," ",(IF('MASQUE DE SAISIE'!H26="OUI","X"," ")))</f>
        <v xml:space="preserve"> </v>
      </c>
      <c r="G35" s="143" t="str">
        <f>IF('MASQUE DE SAISIE'!H26=0," ",(IF('MASQUE DE SAISIE'!H26="NON","X"," ")))</f>
        <v xml:space="preserve"> </v>
      </c>
      <c r="H35" s="412">
        <f>'MASQUE DE SAISIE'!E26</f>
        <v>0</v>
      </c>
      <c r="I35" s="413"/>
      <c r="J35" s="414"/>
    </row>
    <row r="36" spans="1:10" ht="9.75" customHeight="1" x14ac:dyDescent="0.2">
      <c r="A36" s="144" t="str">
        <f>'NOTE DE FRAIS A TIRER'!C23</f>
        <v xml:space="preserve"> </v>
      </c>
      <c r="B36" s="142" t="str">
        <f>IF('MASQUE DE SAISIE'!L27=0," ",(IF('MASQUE DE SAISIE'!L27="OUI","X"," ")))</f>
        <v xml:space="preserve"> </v>
      </c>
      <c r="C36" s="143" t="str">
        <f>IF('MASQUE DE SAISIE'!L27=0," ",(IF('MASQUE DE SAISIE'!L27="NON","X"," ")))</f>
        <v xml:space="preserve"> </v>
      </c>
      <c r="D36" s="143" t="str">
        <f>IF('MASQUE DE SAISIE'!F27=0," ",(IF('MASQUE DE SAISIE'!F27="OUI","X"," ")))</f>
        <v xml:space="preserve"> </v>
      </c>
      <c r="E36" s="143" t="str">
        <f>IF('MASQUE DE SAISIE'!F27=0," ",(IF('MASQUE DE SAISIE'!F27="NON","X"," ")))</f>
        <v xml:space="preserve"> </v>
      </c>
      <c r="F36" s="143" t="str">
        <f>IF('MASQUE DE SAISIE'!H27=0," ",(IF('MASQUE DE SAISIE'!H27="OUI","X"," ")))</f>
        <v xml:space="preserve"> </v>
      </c>
      <c r="G36" s="143" t="str">
        <f>IF('MASQUE DE SAISIE'!H27=0," ",(IF('MASQUE DE SAISIE'!H27="NON","X"," ")))</f>
        <v xml:space="preserve"> </v>
      </c>
      <c r="H36" s="412">
        <f>'MASQUE DE SAISIE'!E27</f>
        <v>0</v>
      </c>
      <c r="I36" s="413"/>
      <c r="J36" s="414"/>
    </row>
    <row r="37" spans="1:10" ht="9.75" customHeight="1" x14ac:dyDescent="0.2">
      <c r="A37" s="144" t="str">
        <f>'NOTE DE FRAIS A TIRER'!C24</f>
        <v xml:space="preserve"> </v>
      </c>
      <c r="B37" s="142" t="str">
        <f>IF('MASQUE DE SAISIE'!L28=0," ",(IF('MASQUE DE SAISIE'!L28="OUI","X"," ")))</f>
        <v xml:space="preserve"> </v>
      </c>
      <c r="C37" s="143" t="str">
        <f>IF('MASQUE DE SAISIE'!L28=0," ",(IF('MASQUE DE SAISIE'!L28="NON","X"," ")))</f>
        <v xml:space="preserve"> </v>
      </c>
      <c r="D37" s="143" t="str">
        <f>IF('MASQUE DE SAISIE'!F28=0," ",(IF('MASQUE DE SAISIE'!F28="OUI","X"," ")))</f>
        <v xml:space="preserve"> </v>
      </c>
      <c r="E37" s="143" t="str">
        <f>IF('MASQUE DE SAISIE'!F28=0," ",(IF('MASQUE DE SAISIE'!F28="NON","X"," ")))</f>
        <v xml:space="preserve"> </v>
      </c>
      <c r="F37" s="143" t="str">
        <f>IF('MASQUE DE SAISIE'!H28=0," ",(IF('MASQUE DE SAISIE'!H28="OUI","X"," ")))</f>
        <v xml:space="preserve"> </v>
      </c>
      <c r="G37" s="143" t="str">
        <f>IF('MASQUE DE SAISIE'!H28=0," ",(IF('MASQUE DE SAISIE'!H28="NON","X"," ")))</f>
        <v xml:space="preserve"> </v>
      </c>
      <c r="H37" s="412">
        <f>'MASQUE DE SAISIE'!E28</f>
        <v>0</v>
      </c>
      <c r="I37" s="413"/>
      <c r="J37" s="414"/>
    </row>
    <row r="38" spans="1:10" ht="9.75" customHeight="1" x14ac:dyDescent="0.2">
      <c r="A38" s="144" t="str">
        <f>'NOTE DE FRAIS A TIRER'!C25</f>
        <v xml:space="preserve"> </v>
      </c>
      <c r="B38" s="142" t="str">
        <f>IF('MASQUE DE SAISIE'!L29=0," ",(IF('MASQUE DE SAISIE'!L29="OUI","X"," ")))</f>
        <v xml:space="preserve"> </v>
      </c>
      <c r="C38" s="143" t="str">
        <f>IF('MASQUE DE SAISIE'!L29=0," ",(IF('MASQUE DE SAISIE'!L29="NON","X"," ")))</f>
        <v xml:space="preserve"> </v>
      </c>
      <c r="D38" s="143" t="str">
        <f>IF('MASQUE DE SAISIE'!F29=0," ",(IF('MASQUE DE SAISIE'!F29="OUI","X"," ")))</f>
        <v xml:space="preserve"> </v>
      </c>
      <c r="E38" s="143" t="str">
        <f>IF('MASQUE DE SAISIE'!F29=0," ",(IF('MASQUE DE SAISIE'!F29="NON","X"," ")))</f>
        <v xml:space="preserve"> </v>
      </c>
      <c r="F38" s="143" t="str">
        <f>IF('MASQUE DE SAISIE'!H29=0," ",(IF('MASQUE DE SAISIE'!H29="OUI","X"," ")))</f>
        <v xml:space="preserve"> </v>
      </c>
      <c r="G38" s="143" t="str">
        <f>IF('MASQUE DE SAISIE'!H29=0," ",(IF('MASQUE DE SAISIE'!H29="NON","X"," ")))</f>
        <v xml:space="preserve"> </v>
      </c>
      <c r="H38" s="412">
        <f>'MASQUE DE SAISIE'!E29</f>
        <v>0</v>
      </c>
      <c r="I38" s="413"/>
      <c r="J38" s="414"/>
    </row>
    <row r="39" spans="1:10" ht="9.75" customHeight="1" x14ac:dyDescent="0.2">
      <c r="A39" s="144" t="str">
        <f>'NOTE DE FRAIS A TIRER'!C26</f>
        <v xml:space="preserve"> </v>
      </c>
      <c r="B39" s="142" t="str">
        <f>IF('MASQUE DE SAISIE'!L30=0," ",(IF('MASQUE DE SAISIE'!L30="OUI","X"," ")))</f>
        <v xml:space="preserve"> </v>
      </c>
      <c r="C39" s="143" t="str">
        <f>IF('MASQUE DE SAISIE'!L30=0," ",(IF('MASQUE DE SAISIE'!L30="NON","X"," ")))</f>
        <v xml:space="preserve"> </v>
      </c>
      <c r="D39" s="143" t="str">
        <f>IF('MASQUE DE SAISIE'!F30=0," ",(IF('MASQUE DE SAISIE'!F30="OUI","X"," ")))</f>
        <v xml:space="preserve"> </v>
      </c>
      <c r="E39" s="143" t="str">
        <f>IF('MASQUE DE SAISIE'!F30=0," ",(IF('MASQUE DE SAISIE'!F30="NON","X"," ")))</f>
        <v xml:space="preserve"> </v>
      </c>
      <c r="F39" s="143" t="str">
        <f>IF('MASQUE DE SAISIE'!H30=0," ",(IF('MASQUE DE SAISIE'!H30="OUI","X"," ")))</f>
        <v xml:space="preserve"> </v>
      </c>
      <c r="G39" s="143" t="str">
        <f>IF('MASQUE DE SAISIE'!H30=0," ",(IF('MASQUE DE SAISIE'!H30="NON","X"," ")))</f>
        <v xml:space="preserve"> </v>
      </c>
      <c r="H39" s="412">
        <f>'MASQUE DE SAISIE'!E30</f>
        <v>0</v>
      </c>
      <c r="I39" s="413"/>
      <c r="J39" s="414"/>
    </row>
    <row r="40" spans="1:10" ht="9.75" customHeight="1" x14ac:dyDescent="0.2">
      <c r="A40" s="144" t="str">
        <f>'NOTE DE FRAIS A TIRER'!C27</f>
        <v xml:space="preserve"> </v>
      </c>
      <c r="B40" s="142" t="str">
        <f>IF('MASQUE DE SAISIE'!L31=0," ",(IF('MASQUE DE SAISIE'!L31="OUI","X"," ")))</f>
        <v xml:space="preserve"> </v>
      </c>
      <c r="C40" s="143" t="str">
        <f>IF('MASQUE DE SAISIE'!L31=0," ",(IF('MASQUE DE SAISIE'!L31="NON","X"," ")))</f>
        <v xml:space="preserve"> </v>
      </c>
      <c r="D40" s="143" t="str">
        <f>IF('MASQUE DE SAISIE'!F31=0," ",(IF('MASQUE DE SAISIE'!F31="OUI","X"," ")))</f>
        <v xml:space="preserve"> </v>
      </c>
      <c r="E40" s="143" t="str">
        <f>IF('MASQUE DE SAISIE'!F31=0," ",(IF('MASQUE DE SAISIE'!F31="NON","X"," ")))</f>
        <v xml:space="preserve"> </v>
      </c>
      <c r="F40" s="143" t="str">
        <f>IF('MASQUE DE SAISIE'!H31=0," ",(IF('MASQUE DE SAISIE'!H31="OUI","X"," ")))</f>
        <v xml:space="preserve"> </v>
      </c>
      <c r="G40" s="143" t="str">
        <f>IF('MASQUE DE SAISIE'!H31=0," ",(IF('MASQUE DE SAISIE'!H31="NON","X"," ")))</f>
        <v xml:space="preserve"> </v>
      </c>
      <c r="H40" s="412">
        <f>'MASQUE DE SAISIE'!E31</f>
        <v>0</v>
      </c>
      <c r="I40" s="413"/>
      <c r="J40" s="414"/>
    </row>
    <row r="41" spans="1:10" ht="9.75" customHeight="1" x14ac:dyDescent="0.2">
      <c r="A41" s="144" t="str">
        <f>'NOTE DE FRAIS A TIRER'!C28</f>
        <v xml:space="preserve"> </v>
      </c>
      <c r="B41" s="142" t="str">
        <f>IF('MASQUE DE SAISIE'!L32=0," ",(IF('MASQUE DE SAISIE'!L32="OUI","X"," ")))</f>
        <v xml:space="preserve"> </v>
      </c>
      <c r="C41" s="143" t="str">
        <f>IF('MASQUE DE SAISIE'!L32=0," ",(IF('MASQUE DE SAISIE'!L32="NON","X"," ")))</f>
        <v xml:space="preserve"> </v>
      </c>
      <c r="D41" s="143" t="str">
        <f>IF('MASQUE DE SAISIE'!F32=0," ",(IF('MASQUE DE SAISIE'!F32="OUI","X"," ")))</f>
        <v xml:space="preserve"> </v>
      </c>
      <c r="E41" s="143" t="str">
        <f>IF('MASQUE DE SAISIE'!F32=0," ",(IF('MASQUE DE SAISIE'!F32="NON","X"," ")))</f>
        <v xml:space="preserve"> </v>
      </c>
      <c r="F41" s="143" t="str">
        <f>IF('MASQUE DE SAISIE'!H32=0," ",(IF('MASQUE DE SAISIE'!H32="OUI","X"," ")))</f>
        <v xml:space="preserve"> </v>
      </c>
      <c r="G41" s="143" t="str">
        <f>IF('MASQUE DE SAISIE'!H32=0," ",(IF('MASQUE DE SAISIE'!H32="NON","X"," ")))</f>
        <v xml:space="preserve"> </v>
      </c>
      <c r="H41" s="412">
        <f>'MASQUE DE SAISIE'!E32</f>
        <v>0</v>
      </c>
      <c r="I41" s="413"/>
      <c r="J41" s="414"/>
    </row>
    <row r="42" spans="1:10" ht="9.75" customHeight="1" x14ac:dyDescent="0.2">
      <c r="A42" s="144" t="str">
        <f>'NOTE DE FRAIS A TIRER'!C29</f>
        <v xml:space="preserve"> </v>
      </c>
      <c r="B42" s="142" t="str">
        <f>IF('MASQUE DE SAISIE'!L33=0," ",(IF('MASQUE DE SAISIE'!L33="OUI","X"," ")))</f>
        <v xml:space="preserve"> </v>
      </c>
      <c r="C42" s="143" t="str">
        <f>IF('MASQUE DE SAISIE'!L33=0," ",(IF('MASQUE DE SAISIE'!L33="NON","X"," ")))</f>
        <v xml:space="preserve"> </v>
      </c>
      <c r="D42" s="143" t="str">
        <f>IF('MASQUE DE SAISIE'!F33=0," ",(IF('MASQUE DE SAISIE'!F33="OUI","X"," ")))</f>
        <v xml:space="preserve"> </v>
      </c>
      <c r="E42" s="143" t="str">
        <f>IF('MASQUE DE SAISIE'!F33=0," ",(IF('MASQUE DE SAISIE'!F33="NON","X"," ")))</f>
        <v xml:space="preserve"> </v>
      </c>
      <c r="F42" s="143" t="str">
        <f>IF('MASQUE DE SAISIE'!H33=0," ",(IF('MASQUE DE SAISIE'!H33="OUI","X"," ")))</f>
        <v xml:space="preserve"> </v>
      </c>
      <c r="G42" s="143" t="str">
        <f>IF('MASQUE DE SAISIE'!H33=0," ",(IF('MASQUE DE SAISIE'!H33="NON","X"," ")))</f>
        <v xml:space="preserve"> </v>
      </c>
      <c r="H42" s="412">
        <f>'MASQUE DE SAISIE'!E33</f>
        <v>0</v>
      </c>
      <c r="I42" s="413"/>
      <c r="J42" s="414"/>
    </row>
    <row r="43" spans="1:10" ht="9.75" customHeight="1" x14ac:dyDescent="0.2">
      <c r="A43" s="144" t="str">
        <f>'NOTE DE FRAIS A TIRER'!C30</f>
        <v xml:space="preserve"> </v>
      </c>
      <c r="B43" s="142" t="str">
        <f>IF('MASQUE DE SAISIE'!L34=0," ",(IF('MASQUE DE SAISIE'!L34="OUI","X"," ")))</f>
        <v xml:space="preserve"> </v>
      </c>
      <c r="C43" s="143" t="str">
        <f>IF('MASQUE DE SAISIE'!L34=0," ",(IF('MASQUE DE SAISIE'!L34="NON","X"," ")))</f>
        <v xml:space="preserve"> </v>
      </c>
      <c r="D43" s="143" t="str">
        <f>IF('MASQUE DE SAISIE'!F34=0," ",(IF('MASQUE DE SAISIE'!F34="OUI","X"," ")))</f>
        <v xml:space="preserve"> </v>
      </c>
      <c r="E43" s="143" t="str">
        <f>IF('MASQUE DE SAISIE'!F34=0," ",(IF('MASQUE DE SAISIE'!F34="NON","X"," ")))</f>
        <v xml:space="preserve"> </v>
      </c>
      <c r="F43" s="143" t="str">
        <f>IF('MASQUE DE SAISIE'!H34=0," ",(IF('MASQUE DE SAISIE'!H34="OUI","X"," ")))</f>
        <v xml:space="preserve"> </v>
      </c>
      <c r="G43" s="143" t="str">
        <f>IF('MASQUE DE SAISIE'!H34=0," ",(IF('MASQUE DE SAISIE'!H34="NON","X"," ")))</f>
        <v xml:space="preserve"> </v>
      </c>
      <c r="H43" s="412">
        <f>'MASQUE DE SAISIE'!E34</f>
        <v>0</v>
      </c>
      <c r="I43" s="413"/>
      <c r="J43" s="414"/>
    </row>
    <row r="44" spans="1:10" ht="9.75" customHeight="1" thickBot="1" x14ac:dyDescent="0.25">
      <c r="A44" s="145" t="str">
        <f>'NOTE DE FRAIS A TIRER'!C31</f>
        <v xml:space="preserve"> </v>
      </c>
      <c r="B44" s="146" t="str">
        <f>IF('MASQUE DE SAISIE'!L35=0," ",(IF('MASQUE DE SAISIE'!L35="OUI","X"," ")))</f>
        <v xml:space="preserve"> </v>
      </c>
      <c r="C44" s="147" t="str">
        <f>IF('MASQUE DE SAISIE'!L35=0," ",(IF('MASQUE DE SAISIE'!L35="NON","X"," ")))</f>
        <v xml:space="preserve"> </v>
      </c>
      <c r="D44" s="147" t="str">
        <f>IF('MASQUE DE SAISIE'!F35=0," ",(IF('MASQUE DE SAISIE'!F35="OUI","X"," ")))</f>
        <v xml:space="preserve"> </v>
      </c>
      <c r="E44" s="147" t="str">
        <f>IF('MASQUE DE SAISIE'!F35=0," ",(IF('MASQUE DE SAISIE'!F35="NON","X"," ")))</f>
        <v xml:space="preserve"> </v>
      </c>
      <c r="F44" s="147" t="str">
        <f>IF('MASQUE DE SAISIE'!H35=0," ",(IF('MASQUE DE SAISIE'!H35="OUI","X"," ")))</f>
        <v xml:space="preserve"> </v>
      </c>
      <c r="G44" s="147" t="str">
        <f>IF('MASQUE DE SAISIE'!H35=0," ",(IF('MASQUE DE SAISIE'!H35="NON","X"," ")))</f>
        <v xml:space="preserve"> </v>
      </c>
      <c r="H44" s="418">
        <f>'MASQUE DE SAISIE'!E35</f>
        <v>0</v>
      </c>
      <c r="I44" s="419"/>
      <c r="J44" s="420"/>
    </row>
    <row r="45" spans="1:10" x14ac:dyDescent="0.2">
      <c r="A45" s="130" t="s">
        <v>95</v>
      </c>
    </row>
    <row r="46" spans="1:10" ht="8.25" customHeight="1" x14ac:dyDescent="0.2"/>
    <row r="47" spans="1:10" x14ac:dyDescent="0.2">
      <c r="A47" s="415" t="s">
        <v>96</v>
      </c>
      <c r="B47" s="415"/>
    </row>
    <row r="48" spans="1:10" x14ac:dyDescent="0.2">
      <c r="A48" s="127" t="s">
        <v>115</v>
      </c>
    </row>
    <row r="49" spans="1:11" x14ac:dyDescent="0.2">
      <c r="A49" s="128" t="s">
        <v>85</v>
      </c>
      <c r="B49" s="138">
        <f>'MASQUE DE SAISIE'!F12</f>
        <v>45793</v>
      </c>
      <c r="C49" s="128" t="s">
        <v>86</v>
      </c>
      <c r="D49" s="139" t="str">
        <f>'MASQUE DE SAISIE'!H12</f>
        <v>08</v>
      </c>
      <c r="E49" s="131" t="s">
        <v>106</v>
      </c>
      <c r="F49" s="140" t="str">
        <f>'MASQUE DE SAISIE'!J12</f>
        <v>00</v>
      </c>
      <c r="G49" s="127" t="s">
        <v>105</v>
      </c>
    </row>
    <row r="50" spans="1:11" x14ac:dyDescent="0.2">
      <c r="A50" s="127" t="s">
        <v>116</v>
      </c>
    </row>
    <row r="51" spans="1:11" x14ac:dyDescent="0.2">
      <c r="A51" s="128" t="s">
        <v>85</v>
      </c>
      <c r="B51" s="138">
        <f>'MASQUE DE SAISIE'!F13</f>
        <v>45793</v>
      </c>
      <c r="C51" s="128" t="s">
        <v>86</v>
      </c>
      <c r="D51" s="139" t="str">
        <f>'MASQUE DE SAISIE'!H13</f>
        <v>17</v>
      </c>
      <c r="E51" s="132" t="s">
        <v>106</v>
      </c>
      <c r="F51" s="148" t="str">
        <f>'MASQUE DE SAISIE'!J13</f>
        <v>00</v>
      </c>
      <c r="G51" s="133" t="s">
        <v>105</v>
      </c>
      <c r="H51" s="21"/>
    </row>
    <row r="52" spans="1:11" ht="0.95" customHeight="1" x14ac:dyDescent="0.2">
      <c r="E52" s="21"/>
      <c r="F52" s="21"/>
      <c r="G52" s="21"/>
      <c r="H52" s="21"/>
    </row>
    <row r="53" spans="1:11" x14ac:dyDescent="0.2">
      <c r="A53" s="425" t="s">
        <v>97</v>
      </c>
      <c r="B53" s="425"/>
      <c r="C53" s="425"/>
      <c r="E53" s="21"/>
      <c r="F53" s="21"/>
      <c r="G53" s="21"/>
      <c r="H53" s="21"/>
    </row>
    <row r="54" spans="1:11" x14ac:dyDescent="0.2">
      <c r="B54" s="125" t="s">
        <v>98</v>
      </c>
      <c r="C54" s="411" t="str">
        <f>'MASQUE DE SAISIE'!B59</f>
        <v>propre moyens</v>
      </c>
      <c r="D54" s="411"/>
      <c r="E54" s="125" t="s">
        <v>99</v>
      </c>
      <c r="F54" s="38" t="str">
        <f>'MASQUE DE SAISIE'!B60</f>
        <v>propre moyens</v>
      </c>
      <c r="G54" s="35"/>
    </row>
    <row r="55" spans="1:11" ht="4.5" customHeight="1" thickBot="1" x14ac:dyDescent="0.25"/>
    <row r="56" spans="1:11" ht="16.5" customHeight="1" x14ac:dyDescent="0.2">
      <c r="A56" s="416" t="s">
        <v>103</v>
      </c>
      <c r="B56" s="417"/>
      <c r="C56" s="417"/>
      <c r="D56" s="417"/>
      <c r="E56" s="417"/>
      <c r="F56" s="426" t="s">
        <v>135</v>
      </c>
      <c r="G56" s="417"/>
      <c r="H56" s="417"/>
      <c r="I56" s="417"/>
      <c r="J56" s="427"/>
    </row>
    <row r="57" spans="1:11" ht="69" customHeight="1" thickBot="1" x14ac:dyDescent="0.25">
      <c r="A57" s="421"/>
      <c r="B57" s="422"/>
      <c r="C57" s="422"/>
      <c r="D57" s="422"/>
      <c r="E57" s="422"/>
      <c r="F57" s="423" t="s">
        <v>100</v>
      </c>
      <c r="G57" s="423"/>
      <c r="H57" s="423"/>
      <c r="I57" s="423"/>
      <c r="J57" s="424"/>
    </row>
    <row r="58" spans="1:11" ht="5.25" customHeight="1" x14ac:dyDescent="0.2"/>
    <row r="59" spans="1:11" x14ac:dyDescent="0.2">
      <c r="A59" s="127" t="s">
        <v>101</v>
      </c>
    </row>
    <row r="60" spans="1:11" ht="45" customHeight="1" x14ac:dyDescent="0.2">
      <c r="A60" s="407" t="s">
        <v>102</v>
      </c>
      <c r="B60" s="407"/>
      <c r="C60" s="407"/>
      <c r="D60" s="407"/>
      <c r="E60" s="407"/>
      <c r="F60" s="407"/>
      <c r="G60" s="407"/>
      <c r="H60" s="407"/>
      <c r="I60" s="407"/>
      <c r="J60" s="407"/>
      <c r="K60" s="134"/>
    </row>
  </sheetData>
  <sheetProtection sheet="1" objects="1" scenarios="1"/>
  <mergeCells count="43">
    <mergeCell ref="A5:J5"/>
    <mergeCell ref="H32:J32"/>
    <mergeCell ref="H33:J33"/>
    <mergeCell ref="A23:J23"/>
    <mergeCell ref="A6:E6"/>
    <mergeCell ref="B11:C11"/>
    <mergeCell ref="H10:J10"/>
    <mergeCell ref="H26:J27"/>
    <mergeCell ref="A14:B14"/>
    <mergeCell ref="A17:B17"/>
    <mergeCell ref="B26:C26"/>
    <mergeCell ref="C15:K15"/>
    <mergeCell ref="C14:K14"/>
    <mergeCell ref="H12:J12"/>
    <mergeCell ref="A57:E57"/>
    <mergeCell ref="F57:J57"/>
    <mergeCell ref="A53:C53"/>
    <mergeCell ref="F56:J56"/>
    <mergeCell ref="A7:F7"/>
    <mergeCell ref="A8:E8"/>
    <mergeCell ref="A26:A27"/>
    <mergeCell ref="H34:J34"/>
    <mergeCell ref="A24:J24"/>
    <mergeCell ref="D26:E26"/>
    <mergeCell ref="H42:J42"/>
    <mergeCell ref="H43:J43"/>
    <mergeCell ref="F26:G26"/>
    <mergeCell ref="A60:J60"/>
    <mergeCell ref="H28:J28"/>
    <mergeCell ref="H29:J29"/>
    <mergeCell ref="H30:J30"/>
    <mergeCell ref="H31:J31"/>
    <mergeCell ref="C54:D54"/>
    <mergeCell ref="H38:J38"/>
    <mergeCell ref="A47:B47"/>
    <mergeCell ref="H35:J35"/>
    <mergeCell ref="H36:J36"/>
    <mergeCell ref="H37:J37"/>
    <mergeCell ref="A56:E56"/>
    <mergeCell ref="H44:J44"/>
    <mergeCell ref="H39:J39"/>
    <mergeCell ref="H40:J40"/>
    <mergeCell ref="H41:J41"/>
  </mergeCells>
  <pageMargins left="0.43423913043478263" right="0.13135416666666666" top="0.55118110236220474" bottom="0.19685039370078741" header="0.31496062992125984" footer="0.19685039370078741"/>
  <pageSetup paperSize="9" scale="98"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pageSetUpPr fitToPage="1"/>
  </sheetPr>
  <dimension ref="A1:DU542"/>
  <sheetViews>
    <sheetView showZeros="0" view="pageBreakPreview" topLeftCell="A37" zoomScaleSheetLayoutView="100" workbookViewId="0">
      <selection activeCell="D58" sqref="D58:F62"/>
    </sheetView>
  </sheetViews>
  <sheetFormatPr defaultColWidth="10.7109375" defaultRowHeight="12.75" x14ac:dyDescent="0.2"/>
  <cols>
    <col min="1" max="1" width="4.140625" style="27" customWidth="1"/>
    <col min="2" max="3" width="10.42578125" style="27" customWidth="1"/>
    <col min="4" max="4" width="13.140625" style="27" customWidth="1"/>
    <col min="5" max="5" width="11" style="27" customWidth="1"/>
    <col min="6" max="6" width="10.5703125" style="27" customWidth="1"/>
    <col min="7" max="7" width="12.42578125" style="27" customWidth="1"/>
    <col min="8" max="8" width="1.28515625" style="27" customWidth="1"/>
    <col min="9" max="11" width="3.7109375" style="27" customWidth="1"/>
    <col min="12" max="12" width="11" style="27" customWidth="1"/>
    <col min="13" max="13" width="12.85546875" style="27" customWidth="1"/>
    <col min="14" max="14" width="14.7109375" style="27" customWidth="1"/>
    <col min="15" max="15" width="4.140625" style="27" customWidth="1"/>
    <col min="16" max="17" width="11.42578125" style="27" customWidth="1"/>
    <col min="18" max="16384" width="10.7109375" style="27"/>
  </cols>
  <sheetData>
    <row r="1" spans="1:125" ht="18" x14ac:dyDescent="0.25">
      <c r="A1" s="118"/>
      <c r="B1" s="118"/>
      <c r="C1" s="118"/>
      <c r="D1" s="118"/>
      <c r="E1" s="118"/>
      <c r="F1" s="118"/>
      <c r="G1" s="118"/>
      <c r="H1" s="118"/>
      <c r="I1" s="118"/>
      <c r="J1" s="118"/>
      <c r="K1" s="118"/>
      <c r="L1" s="149"/>
      <c r="M1" s="150" t="s">
        <v>64</v>
      </c>
      <c r="N1" s="41"/>
      <c r="O1" s="15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row>
    <row r="2" spans="1:125" ht="18" x14ac:dyDescent="0.25">
      <c r="A2" s="119"/>
      <c r="B2" s="119"/>
      <c r="C2" s="214" t="str">
        <f>+'MASQUE DE SAISIE'!B1</f>
        <v>Activité Transport par Canalisation</v>
      </c>
      <c r="D2" s="119"/>
      <c r="E2" s="119"/>
      <c r="F2" s="119"/>
      <c r="G2" s="119"/>
      <c r="H2" s="119"/>
      <c r="I2" s="119"/>
      <c r="J2" s="119"/>
      <c r="K2" s="119"/>
      <c r="L2" s="149"/>
      <c r="M2" s="150" t="s">
        <v>65</v>
      </c>
      <c r="N2" s="42"/>
      <c r="O2" s="152"/>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row>
    <row r="3" spans="1:125" ht="18" x14ac:dyDescent="0.25">
      <c r="A3" s="118"/>
      <c r="B3" s="118"/>
      <c r="C3" s="118" t="s">
        <v>160</v>
      </c>
      <c r="D3" s="118"/>
      <c r="E3" s="118"/>
      <c r="F3" s="118"/>
      <c r="G3" s="118"/>
      <c r="H3" s="118"/>
      <c r="I3" s="118"/>
      <c r="J3" s="118"/>
      <c r="K3" s="118"/>
      <c r="L3" s="149"/>
      <c r="M3" s="150" t="s">
        <v>66</v>
      </c>
      <c r="N3" s="43"/>
      <c r="O3" s="153"/>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row>
    <row r="4" spans="1:125" ht="15.75" x14ac:dyDescent="0.25">
      <c r="A4" s="119"/>
      <c r="B4" s="119"/>
      <c r="C4" s="119"/>
      <c r="D4" s="119"/>
      <c r="E4" s="119"/>
      <c r="F4" s="119"/>
      <c r="G4" s="119"/>
      <c r="H4" s="119"/>
      <c r="I4" s="119"/>
      <c r="J4" s="119"/>
      <c r="K4" s="119"/>
      <c r="L4" s="119"/>
      <c r="M4" s="119"/>
      <c r="N4" s="119"/>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row>
    <row r="5" spans="1:125" ht="9" customHeight="1" x14ac:dyDescent="0.2">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row>
    <row r="6" spans="1:125" ht="16.5" thickBot="1" x14ac:dyDescent="0.3">
      <c r="A6" s="497"/>
      <c r="B6" s="497"/>
      <c r="C6" s="497"/>
      <c r="D6" s="497"/>
      <c r="E6" s="497"/>
      <c r="F6" s="497"/>
      <c r="G6" s="497"/>
      <c r="H6" s="497"/>
      <c r="I6" s="497"/>
      <c r="J6" s="497"/>
      <c r="K6" s="497"/>
      <c r="L6" s="497"/>
      <c r="M6" s="497"/>
      <c r="N6" s="497"/>
      <c r="O6" s="121"/>
      <c r="P6" s="1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1"/>
      <c r="CJ6" s="21"/>
      <c r="CK6" s="21"/>
      <c r="CL6" s="21"/>
      <c r="CM6" s="21"/>
      <c r="CN6" s="21"/>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1"/>
      <c r="DT6" s="21"/>
      <c r="DU6" s="21"/>
    </row>
    <row r="7" spans="1:125" x14ac:dyDescent="0.2">
      <c r="A7" s="225" t="str">
        <f>'MASQUE DE SAISIE'!A7</f>
        <v xml:space="preserve">NOM &amp; PRENOMS : </v>
      </c>
      <c r="B7" s="154"/>
      <c r="C7" s="154"/>
      <c r="D7" s="499" t="str">
        <f>'MASQUE DE SAISIE'!B7</f>
        <v>MALEK MOUHAMMED RIDHA</v>
      </c>
      <c r="E7" s="499"/>
      <c r="F7" s="500"/>
      <c r="G7" s="215" t="str">
        <f>'MASQUE DE SAISIE'!H7</f>
        <v>ITINERAIRES :</v>
      </c>
      <c r="H7" s="155"/>
      <c r="I7" s="217" t="str">
        <f>+'MASQUE DE SAISIE'!J7</f>
        <v>CHELGHOUM LAID-BOUMERDES-CHELGHOUM LAID</v>
      </c>
      <c r="J7" s="67"/>
      <c r="K7" s="67"/>
      <c r="L7" s="67"/>
      <c r="M7" s="67"/>
      <c r="N7" s="156"/>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1"/>
      <c r="DT7" s="21"/>
      <c r="DU7" s="21"/>
    </row>
    <row r="8" spans="1:125" x14ac:dyDescent="0.2">
      <c r="A8" s="226" t="str">
        <f>'MASQUE DE SAISIE'!A8</f>
        <v xml:space="preserve">FONCTION : </v>
      </c>
      <c r="B8" s="157"/>
      <c r="C8" s="157"/>
      <c r="D8" s="501" t="str">
        <f>'MASQUE DE SAISIE'!B8</f>
        <v xml:space="preserve">THECNICIEN MECANICIEN PPL N2 </v>
      </c>
      <c r="E8" s="501"/>
      <c r="F8" s="502"/>
      <c r="G8" s="216" t="str">
        <f>'MASQUE DE SAISIE'!H8</f>
        <v xml:space="preserve">DIRECTION : </v>
      </c>
      <c r="H8" s="34"/>
      <c r="I8" s="218" t="str">
        <f>+'MASQUE DE SAISIE'!J8</f>
        <v>RTE.</v>
      </c>
      <c r="J8" s="8"/>
      <c r="K8" s="8"/>
      <c r="L8" s="8"/>
      <c r="M8" s="219" t="str">
        <f>+'MASQUE DE SAISIE'!M8</f>
        <v>Mle SAP paie</v>
      </c>
      <c r="N8" s="220" t="str">
        <f>+'MASQUE DE SAISIE'!N8</f>
        <v>63018511</v>
      </c>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row>
    <row r="9" spans="1:125" x14ac:dyDescent="0.2">
      <c r="A9" s="226" t="str">
        <f>'MASQUE DE SAISIE'!A9</f>
        <v xml:space="preserve">AFFECTATION : </v>
      </c>
      <c r="B9" s="157"/>
      <c r="C9" s="515" t="str">
        <f>+'MASQUE DE SAISIE'!B9</f>
        <v>SP2 DJAMAA</v>
      </c>
      <c r="D9" s="516"/>
      <c r="E9" s="223" t="str">
        <f>'MASQUE DE SAISIE'!F9</f>
        <v>Echelle:</v>
      </c>
      <c r="F9" s="229">
        <f>'MASQUE DE SAISIE'!G9</f>
        <v>20</v>
      </c>
      <c r="G9" s="503" t="str">
        <f>'MASQUE DE SAISIE'!H9</f>
        <v>Réf  OM N°:</v>
      </c>
      <c r="H9" s="501"/>
      <c r="I9" s="514" t="str">
        <f>+'MASQUE DE SAISIE'!K9</f>
        <v>191/SP2</v>
      </c>
      <c r="J9" s="514"/>
      <c r="K9" s="158"/>
      <c r="L9" s="224" t="str">
        <f>+'MASQUE DE SAISIE'!L9</f>
        <v>DATE</v>
      </c>
      <c r="M9" s="508" t="str">
        <f>+'MASQUE DE SAISIE'!M9</f>
        <v>du 07/05/25</v>
      </c>
      <c r="N9" s="509"/>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row>
    <row r="10" spans="1:125" x14ac:dyDescent="0.2">
      <c r="A10" s="227" t="str">
        <f>'MASQUE DE SAISIE'!A10</f>
        <v>DATE ET HEURE REELLE DE DEPART :</v>
      </c>
      <c r="B10" s="8"/>
      <c r="C10" s="8"/>
      <c r="D10" s="8"/>
      <c r="E10" s="9" t="s">
        <v>50</v>
      </c>
      <c r="F10" s="230">
        <f>'MASQUE DE SAISIE'!F10</f>
        <v>45787</v>
      </c>
      <c r="G10" s="9" t="s">
        <v>15</v>
      </c>
      <c r="H10" s="512" t="str">
        <f>+'MASQUE DE SAISIE'!H10</f>
        <v>08</v>
      </c>
      <c r="I10" s="512"/>
      <c r="J10" s="10" t="s">
        <v>48</v>
      </c>
      <c r="K10" s="232" t="str">
        <f>+'MASQUE DE SAISIE'!J10</f>
        <v>00</v>
      </c>
      <c r="L10" s="159" t="s">
        <v>49</v>
      </c>
      <c r="M10" s="221">
        <f>+'MASQUE DE SAISIE'!M10</f>
        <v>0</v>
      </c>
      <c r="N10" s="222">
        <f>+'MASQUE DE SAISIE'!N10</f>
        <v>0</v>
      </c>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row>
    <row r="11" spans="1:125" ht="13.5" thickBot="1" x14ac:dyDescent="0.25">
      <c r="A11" s="228" t="str">
        <f>'MASQUE DE SAISIE'!A13</f>
        <v>DATE ET HEURE REELLE DE RETOUR :</v>
      </c>
      <c r="B11" s="13"/>
      <c r="C11" s="13"/>
      <c r="D11" s="13"/>
      <c r="E11" s="14" t="s">
        <v>50</v>
      </c>
      <c r="F11" s="231">
        <f>'MASQUE DE SAISIE'!F13</f>
        <v>45793</v>
      </c>
      <c r="G11" s="14" t="s">
        <v>15</v>
      </c>
      <c r="H11" s="513" t="str">
        <f>+'MASQUE DE SAISIE'!H13</f>
        <v>17</v>
      </c>
      <c r="I11" s="513"/>
      <c r="J11" s="15" t="s">
        <v>48</v>
      </c>
      <c r="K11" s="232" t="str">
        <f>+'MASQUE DE SAISIE'!J13</f>
        <v>00</v>
      </c>
      <c r="L11" s="160" t="s">
        <v>49</v>
      </c>
      <c r="M11" s="75"/>
      <c r="N11" s="16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1"/>
      <c r="DT11" s="21"/>
      <c r="DU11" s="21"/>
    </row>
    <row r="12" spans="1:125" ht="16.5" thickBot="1" x14ac:dyDescent="0.25">
      <c r="A12" s="504" t="s">
        <v>57</v>
      </c>
      <c r="B12" s="504"/>
      <c r="C12" s="504"/>
      <c r="D12" s="504"/>
      <c r="E12" s="504"/>
      <c r="F12" s="504"/>
      <c r="G12" s="504"/>
      <c r="H12" s="504"/>
      <c r="I12" s="504"/>
      <c r="J12" s="504"/>
      <c r="K12" s="504"/>
      <c r="L12" s="504"/>
      <c r="M12" s="504"/>
      <c r="N12" s="504"/>
      <c r="O12" s="162"/>
      <c r="P12" s="162"/>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c r="CK12" s="21"/>
      <c r="CL12" s="21"/>
      <c r="CM12" s="21"/>
      <c r="CN12" s="21"/>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1"/>
      <c r="DT12" s="21"/>
      <c r="DU12" s="21"/>
    </row>
    <row r="13" spans="1:125" x14ac:dyDescent="0.2">
      <c r="A13" s="498" t="s">
        <v>33</v>
      </c>
      <c r="B13" s="498" t="s">
        <v>32</v>
      </c>
      <c r="C13" s="498" t="s">
        <v>16</v>
      </c>
      <c r="D13" s="163" t="s">
        <v>0</v>
      </c>
      <c r="E13" s="163" t="s">
        <v>2</v>
      </c>
      <c r="F13" s="163" t="s">
        <v>1</v>
      </c>
      <c r="G13" s="163" t="s">
        <v>2</v>
      </c>
      <c r="H13" s="164"/>
      <c r="I13" s="483" t="s">
        <v>3</v>
      </c>
      <c r="J13" s="510"/>
      <c r="K13" s="511"/>
      <c r="L13" s="163" t="s">
        <v>19</v>
      </c>
      <c r="M13" s="163" t="s">
        <v>4</v>
      </c>
      <c r="N13" s="163" t="s">
        <v>47</v>
      </c>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c r="CK13" s="21"/>
      <c r="CL13" s="21"/>
      <c r="CM13" s="21"/>
      <c r="CN13" s="21"/>
      <c r="CO13" s="21"/>
      <c r="CP13" s="21"/>
      <c r="CQ13" s="21"/>
      <c r="CR13" s="21"/>
      <c r="CS13" s="21"/>
      <c r="CT13" s="21"/>
      <c r="CU13" s="21"/>
      <c r="CV13" s="21"/>
      <c r="CW13" s="21"/>
      <c r="CX13" s="21"/>
      <c r="CY13" s="21"/>
      <c r="CZ13" s="21"/>
      <c r="DA13" s="21"/>
      <c r="DB13" s="21"/>
      <c r="DC13" s="21"/>
      <c r="DD13" s="21"/>
      <c r="DE13" s="21"/>
      <c r="DF13" s="21"/>
      <c r="DG13" s="21"/>
      <c r="DH13" s="21"/>
      <c r="DI13" s="21"/>
      <c r="DJ13" s="21"/>
      <c r="DK13" s="21"/>
      <c r="DL13" s="21"/>
      <c r="DM13" s="21"/>
      <c r="DN13" s="21"/>
      <c r="DO13" s="21"/>
      <c r="DP13" s="21"/>
      <c r="DQ13" s="21"/>
      <c r="DR13" s="21"/>
      <c r="DS13" s="21"/>
      <c r="DT13" s="21"/>
      <c r="DU13" s="21"/>
    </row>
    <row r="14" spans="1:125" x14ac:dyDescent="0.2">
      <c r="A14" s="327"/>
      <c r="B14" s="327"/>
      <c r="C14" s="327"/>
      <c r="D14" s="165" t="s">
        <v>17</v>
      </c>
      <c r="E14" s="165" t="s">
        <v>18</v>
      </c>
      <c r="F14" s="165" t="s">
        <v>17</v>
      </c>
      <c r="G14" s="165" t="s">
        <v>18</v>
      </c>
      <c r="H14" s="166"/>
      <c r="I14" s="505" t="s">
        <v>17</v>
      </c>
      <c r="J14" s="506"/>
      <c r="K14" s="507"/>
      <c r="L14" s="165" t="s">
        <v>18</v>
      </c>
      <c r="M14" s="165" t="s">
        <v>20</v>
      </c>
      <c r="N14" s="165" t="s">
        <v>40</v>
      </c>
      <c r="O14" s="21"/>
      <c r="P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c r="CK14" s="21"/>
      <c r="CL14" s="21"/>
      <c r="CM14" s="21"/>
      <c r="CN14" s="21"/>
      <c r="CO14" s="21"/>
      <c r="CP14" s="21"/>
      <c r="CQ14" s="21"/>
      <c r="CR14" s="21"/>
      <c r="CS14" s="21"/>
      <c r="CT14" s="21"/>
      <c r="CU14" s="21"/>
      <c r="CV14" s="21"/>
      <c r="CW14" s="21"/>
      <c r="CX14" s="21"/>
      <c r="CY14" s="21"/>
      <c r="CZ14" s="21"/>
      <c r="DA14" s="21"/>
      <c r="DB14" s="21"/>
      <c r="DC14" s="21"/>
      <c r="DD14" s="21"/>
      <c r="DE14" s="21"/>
      <c r="DF14" s="21"/>
      <c r="DG14" s="21"/>
      <c r="DH14" s="21"/>
      <c r="DI14" s="21"/>
      <c r="DJ14" s="21"/>
      <c r="DK14" s="21"/>
      <c r="DL14" s="21"/>
      <c r="DM14" s="21"/>
      <c r="DN14" s="21"/>
      <c r="DO14" s="21"/>
      <c r="DP14" s="21"/>
      <c r="DQ14" s="21"/>
      <c r="DR14" s="21"/>
      <c r="DS14" s="21"/>
      <c r="DT14" s="21"/>
      <c r="DU14" s="21"/>
    </row>
    <row r="15" spans="1:125" ht="18" customHeight="1" x14ac:dyDescent="0.2">
      <c r="A15" s="167">
        <v>1</v>
      </c>
      <c r="B15" s="233" t="str">
        <f>TEXT('MASQUE DE SAISIE'!C19," ")</f>
        <v xml:space="preserve"> JJJJ </v>
      </c>
      <c r="C15" s="234">
        <f>IF('MASQUE DE SAISIE'!D19='MASQUE DE SAISIE'!D19,'MASQUE DE SAISIE'!D19," ")</f>
        <v>45787</v>
      </c>
      <c r="D15" s="233" t="str">
        <f>TEXT('MASQUE DE SAISIE'!E19," ")</f>
        <v>SETIF</v>
      </c>
      <c r="E15" s="233" t="str">
        <f>IF('MASQUE DE SAISIE'!F19=0," ",(IF('MASQUE DE SAISIE'!F19="OUI","OUI",(IF('MASQUE DE SAISIE'!F19="NON","NON")))))</f>
        <v>NON</v>
      </c>
      <c r="F15" s="233" t="str">
        <f>TEXT('MASQUE DE SAISIE'!G19," ")</f>
        <v>BOUMERDES</v>
      </c>
      <c r="G15" s="233" t="str">
        <f>IF('MASQUE DE SAISIE'!H19=0," ",(IF('MASQUE DE SAISIE'!H19="OUI","OUI",(IF('MASQUE DE SAISIE'!H19="NON","NON")))))</f>
        <v>OUI</v>
      </c>
      <c r="H15" s="168"/>
      <c r="I15" s="488" t="str">
        <f>TEXT('MASQUE DE SAISIE'!J19," ")</f>
        <v>BOUMERDES</v>
      </c>
      <c r="J15" s="489"/>
      <c r="K15" s="490"/>
      <c r="L15" s="233" t="str">
        <f>IF('MASQUE DE SAISIE'!L19=0," ",(IF('MASQUE DE SAISIE'!L19="OUI","OUI",(IF('MASQUE DE SAISIE'!L19="NON","NON")))))</f>
        <v>OUI</v>
      </c>
      <c r="M15" s="233" t="str">
        <f>TEXT('MASQUE DE SAISIE'!M19," ")</f>
        <v xml:space="preserve"> </v>
      </c>
      <c r="N15" s="236" t="str">
        <f>T('MASQUE DE SAISIE'!N19)</f>
        <v/>
      </c>
      <c r="O15" s="169"/>
      <c r="P15" s="169"/>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c r="CK15" s="21"/>
      <c r="CL15" s="21"/>
      <c r="CM15" s="21"/>
      <c r="CN15" s="21"/>
      <c r="CO15" s="21"/>
      <c r="CP15" s="21"/>
      <c r="CQ15" s="21"/>
      <c r="CR15" s="21"/>
      <c r="CS15" s="21"/>
      <c r="CT15" s="21"/>
      <c r="CU15" s="21"/>
      <c r="CV15" s="21"/>
      <c r="CW15" s="21"/>
      <c r="CX15" s="21"/>
      <c r="CY15" s="21"/>
      <c r="CZ15" s="21"/>
      <c r="DA15" s="21"/>
      <c r="DB15" s="21"/>
      <c r="DC15" s="21"/>
      <c r="DD15" s="21"/>
      <c r="DE15" s="21"/>
      <c r="DF15" s="21"/>
      <c r="DG15" s="21"/>
      <c r="DH15" s="21"/>
      <c r="DI15" s="21"/>
      <c r="DJ15" s="21"/>
      <c r="DK15" s="21"/>
      <c r="DL15" s="21"/>
      <c r="DM15" s="21"/>
      <c r="DN15" s="21"/>
      <c r="DO15" s="21"/>
      <c r="DP15" s="21"/>
      <c r="DQ15" s="21"/>
      <c r="DR15" s="21"/>
      <c r="DS15" s="21"/>
      <c r="DT15" s="21"/>
      <c r="DU15" s="21"/>
    </row>
    <row r="16" spans="1:125" ht="18" customHeight="1" x14ac:dyDescent="0.2">
      <c r="A16" s="167">
        <v>2</v>
      </c>
      <c r="B16" s="233" t="str">
        <f>TEXT('MASQUE DE SAISIE'!C20," ")</f>
        <v>JJJJ</v>
      </c>
      <c r="C16" s="234">
        <f>IF('MASQUE DE SAISIE'!D20='MASQUE DE SAISIE'!D20,'MASQUE DE SAISIE'!D20," ")</f>
        <v>45788</v>
      </c>
      <c r="D16" s="233" t="str">
        <f>TEXT('MASQUE DE SAISIE'!E20," ")</f>
        <v>BOUMERDES</v>
      </c>
      <c r="E16" s="233" t="str">
        <f>IF('MASQUE DE SAISIE'!F20=0," ",(IF('MASQUE DE SAISIE'!F20="OUI","OUI",(IF('MASQUE DE SAISIE'!F20="NON","NON")))))</f>
        <v>OUI</v>
      </c>
      <c r="F16" s="233" t="str">
        <f>TEXT('MASQUE DE SAISIE'!G20," ")</f>
        <v>BOUMERDES</v>
      </c>
      <c r="G16" s="233" t="str">
        <f>IF('MASQUE DE SAISIE'!H20=0," ",(IF('MASQUE DE SAISIE'!H20="OUI","OUI",(IF('MASQUE DE SAISIE'!H20="NON","NON")))))</f>
        <v>OUI</v>
      </c>
      <c r="H16" s="168"/>
      <c r="I16" s="488" t="str">
        <f>TEXT('MASQUE DE SAISIE'!J20," ")</f>
        <v>BOUMERDES</v>
      </c>
      <c r="J16" s="489"/>
      <c r="K16" s="490"/>
      <c r="L16" s="233" t="str">
        <f>IF('MASQUE DE SAISIE'!L20=0," ",(IF('MASQUE DE SAISIE'!L20="OUI","OUI",(IF('MASQUE DE SAISIE'!L20="NON","NON")))))</f>
        <v>OUI</v>
      </c>
      <c r="M16" s="233" t="str">
        <f>TEXT('MASQUE DE SAISIE'!M20," ")</f>
        <v xml:space="preserve"> </v>
      </c>
      <c r="N16" s="236" t="str">
        <f>T('MASQUE DE SAISIE'!N20)</f>
        <v/>
      </c>
      <c r="O16" s="169"/>
      <c r="P16" s="169"/>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1"/>
      <c r="DT16" s="21"/>
      <c r="DU16" s="21"/>
    </row>
    <row r="17" spans="1:125" ht="18" customHeight="1" x14ac:dyDescent="0.2">
      <c r="A17" s="167">
        <v>3</v>
      </c>
      <c r="B17" s="233" t="str">
        <f>TEXT('MASQUE DE SAISIE'!C21," ")</f>
        <v xml:space="preserve"> JJJJ </v>
      </c>
      <c r="C17" s="234">
        <f>IF('MASQUE DE SAISIE'!D21='MASQUE DE SAISIE'!D21,'MASQUE DE SAISIE'!D21," ")</f>
        <v>45789</v>
      </c>
      <c r="D17" s="233" t="str">
        <f>TEXT('MASQUE DE SAISIE'!E21," ")</f>
        <v>BOUMERDES</v>
      </c>
      <c r="E17" s="233" t="str">
        <f>IF('MASQUE DE SAISIE'!F21=0," ",(IF('MASQUE DE SAISIE'!F21="OUI","OUI",(IF('MASQUE DE SAISIE'!F21="NON","NON")))))</f>
        <v>OUI</v>
      </c>
      <c r="F17" s="233" t="str">
        <f>TEXT('MASQUE DE SAISIE'!G21," ")</f>
        <v>BOUMERDES</v>
      </c>
      <c r="G17" s="233" t="str">
        <f>IF('MASQUE DE SAISIE'!H21=0," ",(IF('MASQUE DE SAISIE'!H21="OUI","OUI",(IF('MASQUE DE SAISIE'!H21="NON","NON")))))</f>
        <v>OUI</v>
      </c>
      <c r="H17" s="168"/>
      <c r="I17" s="488" t="str">
        <f>TEXT('MASQUE DE SAISIE'!J21," ")</f>
        <v>BOUMERDES</v>
      </c>
      <c r="J17" s="489"/>
      <c r="K17" s="490"/>
      <c r="L17" s="233" t="str">
        <f>IF('MASQUE DE SAISIE'!L21=0," ",(IF('MASQUE DE SAISIE'!L21="OUI","OUI",(IF('MASQUE DE SAISIE'!L21="NON","NON")))))</f>
        <v>OUI</v>
      </c>
      <c r="M17" s="233" t="str">
        <f>TEXT('MASQUE DE SAISIE'!M21," ")</f>
        <v xml:space="preserve"> </v>
      </c>
      <c r="N17" s="236" t="str">
        <f>T('MASQUE DE SAISIE'!N21)</f>
        <v/>
      </c>
      <c r="O17" s="169"/>
      <c r="P17" s="169"/>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row>
    <row r="18" spans="1:125" ht="16.5" customHeight="1" x14ac:dyDescent="0.2">
      <c r="A18" s="167">
        <v>4</v>
      </c>
      <c r="B18" s="233" t="str">
        <f>TEXT('MASQUE DE SAISIE'!C22," ")</f>
        <v xml:space="preserve"> JJJJ </v>
      </c>
      <c r="C18" s="234">
        <f>IF('MASQUE DE SAISIE'!D22='MASQUE DE SAISIE'!D22,'MASQUE DE SAISIE'!D22," ")</f>
        <v>45790</v>
      </c>
      <c r="D18" s="233" t="str">
        <f>TEXT('MASQUE DE SAISIE'!E22," ")</f>
        <v>BOUMERDES</v>
      </c>
      <c r="E18" s="233" t="str">
        <f>IF('MASQUE DE SAISIE'!F22=0," ",(IF('MASQUE DE SAISIE'!F22="OUI","OUI",(IF('MASQUE DE SAISIE'!F22="NON","NON")))))</f>
        <v>OUI</v>
      </c>
      <c r="F18" s="233" t="str">
        <f>TEXT('MASQUE DE SAISIE'!G22," ")</f>
        <v>BOUMERDES</v>
      </c>
      <c r="G18" s="233" t="str">
        <f>IF('MASQUE DE SAISIE'!H22=0," ",(IF('MASQUE DE SAISIE'!H22="OUI","OUI",(IF('MASQUE DE SAISIE'!H22="NON","NON")))))</f>
        <v>OUI</v>
      </c>
      <c r="H18" s="168"/>
      <c r="I18" s="488" t="str">
        <f>TEXT('MASQUE DE SAISIE'!J22," ")</f>
        <v>BOUMERDES</v>
      </c>
      <c r="J18" s="489"/>
      <c r="K18" s="490"/>
      <c r="L18" s="233" t="str">
        <f>IF('MASQUE DE SAISIE'!L22=0," ",(IF('MASQUE DE SAISIE'!L22="OUI","OUI",(IF('MASQUE DE SAISIE'!L22="NON","NON")))))</f>
        <v>OUI</v>
      </c>
      <c r="M18" s="233" t="str">
        <f>TEXT('MASQUE DE SAISIE'!M22," ")</f>
        <v xml:space="preserve"> </v>
      </c>
      <c r="N18" s="236" t="str">
        <f>T('MASQUE DE SAISIE'!N22)</f>
        <v/>
      </c>
      <c r="O18" s="169"/>
      <c r="P18" s="169"/>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row>
    <row r="19" spans="1:125" ht="16.5" customHeight="1" x14ac:dyDescent="0.2">
      <c r="A19" s="167">
        <v>5</v>
      </c>
      <c r="B19" s="233" t="str">
        <f>TEXT('MASQUE DE SAISIE'!C23," ")</f>
        <v xml:space="preserve"> JJJJ </v>
      </c>
      <c r="C19" s="234">
        <f>IF('MASQUE DE SAISIE'!D23='MASQUE DE SAISIE'!D23,'MASQUE DE SAISIE'!D23," ")</f>
        <v>45791</v>
      </c>
      <c r="D19" s="233" t="str">
        <f>TEXT('MASQUE DE SAISIE'!E23," ")</f>
        <v>BOUMERDES</v>
      </c>
      <c r="E19" s="233" t="str">
        <f>IF('MASQUE DE SAISIE'!F23=0," ",(IF('MASQUE DE SAISIE'!F23="OUI","OUI",(IF('MASQUE DE SAISIE'!F23="NON","NON")))))</f>
        <v>OUI</v>
      </c>
      <c r="F19" s="233" t="str">
        <f>TEXT('MASQUE DE SAISIE'!G23," ")</f>
        <v>BOUMERDES</v>
      </c>
      <c r="G19" s="233" t="str">
        <f>IF('MASQUE DE SAISIE'!H23=0," ",(IF('MASQUE DE SAISIE'!H23="OUI","OUI",(IF('MASQUE DE SAISIE'!H23="NON","NON")))))</f>
        <v>OUI</v>
      </c>
      <c r="H19" s="168"/>
      <c r="I19" s="488" t="str">
        <f>TEXT('MASQUE DE SAISIE'!J23," ")</f>
        <v>BOUMERDES</v>
      </c>
      <c r="J19" s="489"/>
      <c r="K19" s="490"/>
      <c r="L19" s="233" t="str">
        <f>IF('MASQUE DE SAISIE'!L23=0," ",(IF('MASQUE DE SAISIE'!L23="OUI","OUI",(IF('MASQUE DE SAISIE'!L23="NON","NON")))))</f>
        <v>OUI</v>
      </c>
      <c r="M19" s="233" t="str">
        <f>TEXT('MASQUE DE SAISIE'!M23," ")</f>
        <v xml:space="preserve"> </v>
      </c>
      <c r="N19" s="236" t="str">
        <f>T('MASQUE DE SAISIE'!N23)</f>
        <v/>
      </c>
      <c r="O19" s="169"/>
      <c r="P19" s="169"/>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row>
    <row r="20" spans="1:125" ht="16.5" customHeight="1" x14ac:dyDescent="0.2">
      <c r="A20" s="167">
        <v>6</v>
      </c>
      <c r="B20" s="233" t="str">
        <f>TEXT('MASQUE DE SAISIE'!C24," ")</f>
        <v xml:space="preserve"> JJJJ </v>
      </c>
      <c r="C20" s="234">
        <f>IF('MASQUE DE SAISIE'!D24='MASQUE DE SAISIE'!D24,'MASQUE DE SAISIE'!D24," ")</f>
        <v>45792</v>
      </c>
      <c r="D20" s="233" t="str">
        <f>TEXT('MASQUE DE SAISIE'!E24," ")</f>
        <v>BOUMERDES</v>
      </c>
      <c r="E20" s="233" t="str">
        <f>IF('MASQUE DE SAISIE'!F24=0," ",(IF('MASQUE DE SAISIE'!F24="OUI","OUI",(IF('MASQUE DE SAISIE'!F24="NON","NON")))))</f>
        <v>OUI</v>
      </c>
      <c r="F20" s="233" t="str">
        <f>TEXT('MASQUE DE SAISIE'!G24," ")</f>
        <v>BOUMERDES</v>
      </c>
      <c r="G20" s="233" t="str">
        <f>IF('MASQUE DE SAISIE'!H24=0," ",(IF('MASQUE DE SAISIE'!H24="OUI","OUI",(IF('MASQUE DE SAISIE'!H24="NON","NON")))))</f>
        <v>OUI</v>
      </c>
      <c r="H20" s="168"/>
      <c r="I20" s="488" t="str">
        <f>TEXT('MASQUE DE SAISIE'!J24," ")</f>
        <v>BOUMERDES</v>
      </c>
      <c r="J20" s="489"/>
      <c r="K20" s="490"/>
      <c r="L20" s="233" t="str">
        <f>IF('MASQUE DE SAISIE'!L24=0," ",(IF('MASQUE DE SAISIE'!L24="OUI","OUI",(IF('MASQUE DE SAISIE'!L24="NON","NON")))))</f>
        <v>OUI</v>
      </c>
      <c r="M20" s="233" t="str">
        <f>TEXT('MASQUE DE SAISIE'!M24," ")</f>
        <v xml:space="preserve"> </v>
      </c>
      <c r="N20" s="236" t="str">
        <f>T('MASQUE DE SAISIE'!N24)</f>
        <v/>
      </c>
      <c r="O20" s="169"/>
      <c r="P20" s="169"/>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row>
    <row r="21" spans="1:125" ht="16.5" customHeight="1" x14ac:dyDescent="0.2">
      <c r="A21" s="167">
        <v>7</v>
      </c>
      <c r="B21" s="233" t="str">
        <f>TEXT('MASQUE DE SAISIE'!C25," ")</f>
        <v>JJJJ</v>
      </c>
      <c r="C21" s="234">
        <f>IF('MASQUE DE SAISIE'!D25='MASQUE DE SAISIE'!D25,'MASQUE DE SAISIE'!D25," ")</f>
        <v>45793</v>
      </c>
      <c r="D21" s="233" t="str">
        <f>TEXT('MASQUE DE SAISIE'!E25," ")</f>
        <v>SETIF</v>
      </c>
      <c r="E21" s="233" t="str">
        <f>IF('MASQUE DE SAISIE'!F25=0," ",(IF('MASQUE DE SAISIE'!F25="OUI","OUI",(IF('MASQUE DE SAISIE'!F25="NON","NON")))))</f>
        <v>NON</v>
      </c>
      <c r="F21" s="233" t="str">
        <f>TEXT('MASQUE DE SAISIE'!G25," ")</f>
        <v xml:space="preserve"> </v>
      </c>
      <c r="G21" s="233" t="str">
        <f>IF('MASQUE DE SAISIE'!H25=0," ",(IF('MASQUE DE SAISIE'!H25="OUI","OUI",(IF('MASQUE DE SAISIE'!H25="NON","NON")))))</f>
        <v xml:space="preserve"> </v>
      </c>
      <c r="H21" s="168"/>
      <c r="I21" s="488" t="str">
        <f>TEXT('MASQUE DE SAISIE'!J25," ")</f>
        <v xml:space="preserve"> </v>
      </c>
      <c r="J21" s="489"/>
      <c r="K21" s="490"/>
      <c r="L21" s="233" t="str">
        <f>IF('MASQUE DE SAISIE'!L25=0," ",(IF('MASQUE DE SAISIE'!L25="OUI","OUI",(IF('MASQUE DE SAISIE'!L25="NON","NON")))))</f>
        <v xml:space="preserve"> </v>
      </c>
      <c r="M21" s="233" t="str">
        <f>TEXT('MASQUE DE SAISIE'!M25," ")</f>
        <v xml:space="preserve"> </v>
      </c>
      <c r="N21" s="236" t="str">
        <f>T('MASQUE DE SAISIE'!N25)</f>
        <v/>
      </c>
      <c r="O21" s="169"/>
      <c r="P21" s="169"/>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row>
    <row r="22" spans="1:125" ht="16.5" customHeight="1" x14ac:dyDescent="0.2">
      <c r="A22" s="167">
        <v>8</v>
      </c>
      <c r="B22" s="233" t="str">
        <f>TEXT('MASQUE DE SAISIE'!C26," ")</f>
        <v xml:space="preserve"> </v>
      </c>
      <c r="C22" s="234" t="str">
        <f>IF('MASQUE DE SAISIE'!D26='MASQUE DE SAISIE'!D26,'MASQUE DE SAISIE'!D26," ")</f>
        <v xml:space="preserve"> </v>
      </c>
      <c r="D22" s="233" t="str">
        <f>TEXT('MASQUE DE SAISIE'!E26," ")</f>
        <v xml:space="preserve"> </v>
      </c>
      <c r="E22" s="233" t="str">
        <f>IF('MASQUE DE SAISIE'!F26=0," ",(IF('MASQUE DE SAISIE'!F26="OUI","OUI",(IF('MASQUE DE SAISIE'!F26="NON","NON")))))</f>
        <v xml:space="preserve"> </v>
      </c>
      <c r="F22" s="233" t="str">
        <f>TEXT('MASQUE DE SAISIE'!G26," ")</f>
        <v xml:space="preserve"> </v>
      </c>
      <c r="G22" s="233" t="str">
        <f>IF('MASQUE DE SAISIE'!H26=0," ",(IF('MASQUE DE SAISIE'!H26="OUI","OUI",(IF('MASQUE DE SAISIE'!H26="NON","NON")))))</f>
        <v xml:space="preserve"> </v>
      </c>
      <c r="H22" s="168"/>
      <c r="I22" s="488" t="str">
        <f>TEXT('MASQUE DE SAISIE'!J26," ")</f>
        <v xml:space="preserve"> </v>
      </c>
      <c r="J22" s="489"/>
      <c r="K22" s="490"/>
      <c r="L22" s="233" t="str">
        <f>IF('MASQUE DE SAISIE'!L26=0," ",(IF('MASQUE DE SAISIE'!L26="OUI","OUI",(IF('MASQUE DE SAISIE'!L26="NON","NON")))))</f>
        <v xml:space="preserve"> </v>
      </c>
      <c r="M22" s="233" t="str">
        <f>TEXT('MASQUE DE SAISIE'!M26," ")</f>
        <v xml:space="preserve"> </v>
      </c>
      <c r="N22" s="236" t="str">
        <f>T('MASQUE DE SAISIE'!N26)</f>
        <v/>
      </c>
      <c r="O22" s="169"/>
      <c r="P22" s="169"/>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row>
    <row r="23" spans="1:125" ht="16.5" customHeight="1" x14ac:dyDescent="0.2">
      <c r="A23" s="167">
        <v>9</v>
      </c>
      <c r="B23" s="233" t="str">
        <f>TEXT('MASQUE DE SAISIE'!C27," ")</f>
        <v xml:space="preserve"> </v>
      </c>
      <c r="C23" s="234" t="str">
        <f>IF('MASQUE DE SAISIE'!D27='MASQUE DE SAISIE'!D27,'MASQUE DE SAISIE'!D27," ")</f>
        <v xml:space="preserve"> </v>
      </c>
      <c r="D23" s="233" t="str">
        <f>TEXT('MASQUE DE SAISIE'!E27," ")</f>
        <v xml:space="preserve"> </v>
      </c>
      <c r="E23" s="233" t="str">
        <f>IF('MASQUE DE SAISIE'!F27=0," ",(IF('MASQUE DE SAISIE'!F27="OUI","OUI",(IF('MASQUE DE SAISIE'!F27="NON","NON")))))</f>
        <v xml:space="preserve"> </v>
      </c>
      <c r="F23" s="233" t="str">
        <f>TEXT('MASQUE DE SAISIE'!G27," ")</f>
        <v xml:space="preserve"> </v>
      </c>
      <c r="G23" s="233" t="str">
        <f>IF('MASQUE DE SAISIE'!H27=0," ",(IF('MASQUE DE SAISIE'!H27="OUI","OUI",(IF('MASQUE DE SAISIE'!H27="NON","NON")))))</f>
        <v xml:space="preserve"> </v>
      </c>
      <c r="H23" s="168"/>
      <c r="I23" s="488" t="str">
        <f>TEXT('MASQUE DE SAISIE'!J27," ")</f>
        <v xml:space="preserve"> </v>
      </c>
      <c r="J23" s="489"/>
      <c r="K23" s="490"/>
      <c r="L23" s="233" t="str">
        <f>IF('MASQUE DE SAISIE'!L27=0," ",(IF('MASQUE DE SAISIE'!L27="OUI","OUI",(IF('MASQUE DE SAISIE'!L27="NON","NON")))))</f>
        <v xml:space="preserve"> </v>
      </c>
      <c r="M23" s="233" t="str">
        <f>TEXT('MASQUE DE SAISIE'!M27," ")</f>
        <v xml:space="preserve"> </v>
      </c>
      <c r="N23" s="236" t="str">
        <f>T('MASQUE DE SAISIE'!N27)</f>
        <v/>
      </c>
      <c r="O23" s="169"/>
      <c r="P23" s="169"/>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row>
    <row r="24" spans="1:125" ht="16.5" customHeight="1" x14ac:dyDescent="0.2">
      <c r="A24" s="167">
        <v>10</v>
      </c>
      <c r="B24" s="233" t="str">
        <f>TEXT('MASQUE DE SAISIE'!C28," ")</f>
        <v xml:space="preserve"> </v>
      </c>
      <c r="C24" s="234" t="str">
        <f>IF('MASQUE DE SAISIE'!D28='MASQUE DE SAISIE'!D28,'MASQUE DE SAISIE'!D28," ")</f>
        <v xml:space="preserve"> </v>
      </c>
      <c r="D24" s="233" t="str">
        <f>TEXT('MASQUE DE SAISIE'!E28," ")</f>
        <v xml:space="preserve"> </v>
      </c>
      <c r="E24" s="233" t="str">
        <f>IF('MASQUE DE SAISIE'!F28=0," ",(IF('MASQUE DE SAISIE'!F28="OUI","OUI",(IF('MASQUE DE SAISIE'!F28="NON","NON")))))</f>
        <v xml:space="preserve"> </v>
      </c>
      <c r="F24" s="233" t="str">
        <f>TEXT('MASQUE DE SAISIE'!G28," ")</f>
        <v xml:space="preserve"> </v>
      </c>
      <c r="G24" s="233" t="str">
        <f>IF('MASQUE DE SAISIE'!H28=0," ",(IF('MASQUE DE SAISIE'!H28="OUI","OUI",(IF('MASQUE DE SAISIE'!H28="NON","NON")))))</f>
        <v xml:space="preserve"> </v>
      </c>
      <c r="H24" s="168"/>
      <c r="I24" s="488" t="str">
        <f>TEXT('MASQUE DE SAISIE'!J28," ")</f>
        <v xml:space="preserve"> </v>
      </c>
      <c r="J24" s="489"/>
      <c r="K24" s="490"/>
      <c r="L24" s="233" t="str">
        <f>IF('MASQUE DE SAISIE'!L28=0," ",(IF('MASQUE DE SAISIE'!L28="OUI","OUI",(IF('MASQUE DE SAISIE'!L28="NON","NON")))))</f>
        <v xml:space="preserve"> </v>
      </c>
      <c r="M24" s="233" t="str">
        <f>TEXT('MASQUE DE SAISIE'!M28," ")</f>
        <v xml:space="preserve"> </v>
      </c>
      <c r="N24" s="236" t="str">
        <f>T('MASQUE DE SAISIE'!N28)</f>
        <v/>
      </c>
      <c r="O24" s="169"/>
      <c r="P24" s="169"/>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row>
    <row r="25" spans="1:125" ht="16.5" customHeight="1" x14ac:dyDescent="0.2">
      <c r="A25" s="167">
        <v>11</v>
      </c>
      <c r="B25" s="233" t="str">
        <f>TEXT('MASQUE DE SAISIE'!C29," ")</f>
        <v xml:space="preserve"> </v>
      </c>
      <c r="C25" s="234" t="str">
        <f>IF('MASQUE DE SAISIE'!D29='MASQUE DE SAISIE'!D29,'MASQUE DE SAISIE'!D29," ")</f>
        <v xml:space="preserve"> </v>
      </c>
      <c r="D25" s="233" t="str">
        <f>TEXT('MASQUE DE SAISIE'!E29," ")</f>
        <v xml:space="preserve"> </v>
      </c>
      <c r="E25" s="233" t="str">
        <f>IF('MASQUE DE SAISIE'!F29=0," ",(IF('MASQUE DE SAISIE'!F29="OUI","OUI",(IF('MASQUE DE SAISIE'!F29="NON","NON")))))</f>
        <v xml:space="preserve"> </v>
      </c>
      <c r="F25" s="233" t="str">
        <f>TEXT('MASQUE DE SAISIE'!G29," ")</f>
        <v xml:space="preserve"> </v>
      </c>
      <c r="G25" s="233" t="str">
        <f>IF('MASQUE DE SAISIE'!H29=0," ",(IF('MASQUE DE SAISIE'!H29="OUI","OUI",(IF('MASQUE DE SAISIE'!H29="NON","NON")))))</f>
        <v xml:space="preserve"> </v>
      </c>
      <c r="H25" s="168"/>
      <c r="I25" s="488" t="str">
        <f>TEXT('MASQUE DE SAISIE'!J29," ")</f>
        <v xml:space="preserve"> </v>
      </c>
      <c r="J25" s="489"/>
      <c r="K25" s="490"/>
      <c r="L25" s="233" t="str">
        <f>IF('MASQUE DE SAISIE'!L29=0," ",(IF('MASQUE DE SAISIE'!L29="OUI","OUI",(IF('MASQUE DE SAISIE'!L29="NON","NON")))))</f>
        <v xml:space="preserve"> </v>
      </c>
      <c r="M25" s="233" t="str">
        <f>TEXT('MASQUE DE SAISIE'!M29," ")</f>
        <v xml:space="preserve"> </v>
      </c>
      <c r="N25" s="236" t="str">
        <f>T('MASQUE DE SAISIE'!N29)</f>
        <v/>
      </c>
      <c r="O25" s="169"/>
      <c r="P25" s="169"/>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row>
    <row r="26" spans="1:125" ht="16.5" customHeight="1" x14ac:dyDescent="0.2">
      <c r="A26" s="167">
        <v>12</v>
      </c>
      <c r="B26" s="233" t="str">
        <f>TEXT('MASQUE DE SAISIE'!C30," ")</f>
        <v xml:space="preserve"> </v>
      </c>
      <c r="C26" s="234" t="str">
        <f>IF('MASQUE DE SAISIE'!D29='MASQUE DE SAISIE'!D29,'MASQUE DE SAISIE'!D30," ")</f>
        <v xml:space="preserve"> </v>
      </c>
      <c r="D26" s="233" t="str">
        <f>TEXT('MASQUE DE SAISIE'!E30," ")</f>
        <v xml:space="preserve"> </v>
      </c>
      <c r="E26" s="233" t="str">
        <f>IF('MASQUE DE SAISIE'!F30=0," ",(IF('MASQUE DE SAISIE'!F30="OUI","OUI",(IF('MASQUE DE SAISIE'!F30="NON","NON")))))</f>
        <v xml:space="preserve"> </v>
      </c>
      <c r="F26" s="233" t="str">
        <f>TEXT('MASQUE DE SAISIE'!G30," ")</f>
        <v xml:space="preserve"> </v>
      </c>
      <c r="G26" s="233" t="str">
        <f>IF('MASQUE DE SAISIE'!H30=0," ",(IF('MASQUE DE SAISIE'!H30="OUI","OUI",(IF('MASQUE DE SAISIE'!H30="NON","NON")))))</f>
        <v xml:space="preserve"> </v>
      </c>
      <c r="H26" s="168"/>
      <c r="I26" s="488" t="str">
        <f>TEXT('MASQUE DE SAISIE'!J30," ")</f>
        <v xml:space="preserve"> </v>
      </c>
      <c r="J26" s="489"/>
      <c r="K26" s="490"/>
      <c r="L26" s="233" t="str">
        <f>IF('MASQUE DE SAISIE'!L30=0," ",(IF('MASQUE DE SAISIE'!L30="OUI","OUI",(IF('MASQUE DE SAISIE'!L30="NON","NON")))))</f>
        <v xml:space="preserve"> </v>
      </c>
      <c r="M26" s="233" t="str">
        <f>TEXT('MASQUE DE SAISIE'!M30," ")</f>
        <v xml:space="preserve"> </v>
      </c>
      <c r="N26" s="236" t="str">
        <f>T('MASQUE DE SAISIE'!N30)</f>
        <v/>
      </c>
      <c r="O26" s="169"/>
      <c r="P26" s="169"/>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row>
    <row r="27" spans="1:125" ht="16.5" customHeight="1" x14ac:dyDescent="0.2">
      <c r="A27" s="167">
        <v>13</v>
      </c>
      <c r="B27" s="233" t="str">
        <f>TEXT('MASQUE DE SAISIE'!C31," ")</f>
        <v xml:space="preserve"> </v>
      </c>
      <c r="C27" s="234" t="str">
        <f>IF('MASQUE DE SAISIE'!D31='MASQUE DE SAISIE'!D31,'MASQUE DE SAISIE'!D31," ")</f>
        <v xml:space="preserve"> </v>
      </c>
      <c r="D27" s="233" t="str">
        <f>TEXT('MASQUE DE SAISIE'!E31," ")</f>
        <v xml:space="preserve"> </v>
      </c>
      <c r="E27" s="233" t="str">
        <f>IF('MASQUE DE SAISIE'!F31=0," ",(IF('MASQUE DE SAISIE'!F31="OUI","OUI",(IF('MASQUE DE SAISIE'!F31="NON","NON")))))</f>
        <v xml:space="preserve"> </v>
      </c>
      <c r="F27" s="233" t="str">
        <f>TEXT('MASQUE DE SAISIE'!G31," ")</f>
        <v xml:space="preserve"> </v>
      </c>
      <c r="G27" s="233" t="str">
        <f>IF('MASQUE DE SAISIE'!H31=0," ",(IF('MASQUE DE SAISIE'!H31="OUI","OUI",(IF('MASQUE DE SAISIE'!H31="NON","NON")))))</f>
        <v xml:space="preserve"> </v>
      </c>
      <c r="H27" s="168"/>
      <c r="I27" s="488" t="str">
        <f>TEXT('MASQUE DE SAISIE'!J31," ")</f>
        <v xml:space="preserve"> </v>
      </c>
      <c r="J27" s="489"/>
      <c r="K27" s="490"/>
      <c r="L27" s="233" t="str">
        <f>IF('MASQUE DE SAISIE'!L31=0," ",(IF('MASQUE DE SAISIE'!L31="OUI","OUI",(IF('MASQUE DE SAISIE'!L31="NON","NON")))))</f>
        <v xml:space="preserve"> </v>
      </c>
      <c r="M27" s="233" t="str">
        <f>TEXT('MASQUE DE SAISIE'!M31," ")</f>
        <v xml:space="preserve"> </v>
      </c>
      <c r="N27" s="236" t="str">
        <f>T('MASQUE DE SAISIE'!N31)</f>
        <v/>
      </c>
      <c r="O27" s="169"/>
      <c r="P27" s="169"/>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row>
    <row r="28" spans="1:125" ht="16.5" customHeight="1" x14ac:dyDescent="0.2">
      <c r="A28" s="167">
        <v>14</v>
      </c>
      <c r="B28" s="233" t="str">
        <f>TEXT('MASQUE DE SAISIE'!C32," ")</f>
        <v xml:space="preserve"> </v>
      </c>
      <c r="C28" s="234" t="str">
        <f>IF('MASQUE DE SAISIE'!D32='MASQUE DE SAISIE'!D32,'MASQUE DE SAISIE'!D32," ")</f>
        <v xml:space="preserve"> </v>
      </c>
      <c r="D28" s="233" t="str">
        <f>TEXT('MASQUE DE SAISIE'!E32," ")</f>
        <v xml:space="preserve"> </v>
      </c>
      <c r="E28" s="233" t="str">
        <f>IF('MASQUE DE SAISIE'!F32=0," ",(IF('MASQUE DE SAISIE'!F32="OUI","OUI",(IF('MASQUE DE SAISIE'!F32="NON","NON")))))</f>
        <v xml:space="preserve"> </v>
      </c>
      <c r="F28" s="233" t="str">
        <f>TEXT('MASQUE DE SAISIE'!G32," ")</f>
        <v xml:space="preserve"> </v>
      </c>
      <c r="G28" s="233" t="str">
        <f>IF('MASQUE DE SAISIE'!H32=0," ",(IF('MASQUE DE SAISIE'!H32="OUI","OUI",(IF('MASQUE DE SAISIE'!H32="NON","NON")))))</f>
        <v xml:space="preserve"> </v>
      </c>
      <c r="H28" s="168"/>
      <c r="I28" s="488" t="str">
        <f>TEXT('MASQUE DE SAISIE'!J32," ")</f>
        <v xml:space="preserve"> </v>
      </c>
      <c r="J28" s="489"/>
      <c r="K28" s="490"/>
      <c r="L28" s="233" t="str">
        <f>IF('MASQUE DE SAISIE'!L32=0," ",(IF('MASQUE DE SAISIE'!L32="OUI","OUI",(IF('MASQUE DE SAISIE'!L32="NON","NON")))))</f>
        <v xml:space="preserve"> </v>
      </c>
      <c r="M28" s="233" t="str">
        <f>TEXT('MASQUE DE SAISIE'!M32," ")</f>
        <v xml:space="preserve"> </v>
      </c>
      <c r="N28" s="236" t="str">
        <f>T('MASQUE DE SAISIE'!N32)</f>
        <v/>
      </c>
      <c r="O28" s="169"/>
      <c r="P28" s="169"/>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row>
    <row r="29" spans="1:125" ht="16.5" customHeight="1" x14ac:dyDescent="0.2">
      <c r="A29" s="167">
        <v>15</v>
      </c>
      <c r="B29" s="233" t="str">
        <f>TEXT('MASQUE DE SAISIE'!C33," ")</f>
        <v xml:space="preserve"> </v>
      </c>
      <c r="C29" s="234" t="str">
        <f>IF('MASQUE DE SAISIE'!D33='MASQUE DE SAISIE'!D33,'MASQUE DE SAISIE'!D33," ")</f>
        <v xml:space="preserve"> </v>
      </c>
      <c r="D29" s="233" t="str">
        <f>TEXT('MASQUE DE SAISIE'!E33," ")</f>
        <v xml:space="preserve"> </v>
      </c>
      <c r="E29" s="233" t="str">
        <f>IF('MASQUE DE SAISIE'!F33=0," ",(IF('MASQUE DE SAISIE'!F33="OUI","OUI",(IF('MASQUE DE SAISIE'!F33="NON","NON")))))</f>
        <v xml:space="preserve"> </v>
      </c>
      <c r="F29" s="233" t="str">
        <f>TEXT('MASQUE DE SAISIE'!G33," ")</f>
        <v xml:space="preserve"> </v>
      </c>
      <c r="G29" s="233" t="str">
        <f>IF('MASQUE DE SAISIE'!H33=0," ",(IF('MASQUE DE SAISIE'!H33="OUI","OUI",(IF('MASQUE DE SAISIE'!H33="NON","NON")))))</f>
        <v xml:space="preserve"> </v>
      </c>
      <c r="H29" s="168"/>
      <c r="I29" s="488" t="str">
        <f>TEXT('MASQUE DE SAISIE'!J33," ")</f>
        <v xml:space="preserve"> </v>
      </c>
      <c r="J29" s="489"/>
      <c r="K29" s="490"/>
      <c r="L29" s="233" t="str">
        <f>IF('MASQUE DE SAISIE'!L33=0," ",(IF('MASQUE DE SAISIE'!L33="OUI","OUI",(IF('MASQUE DE SAISIE'!L33="NON","NON")))))</f>
        <v xml:space="preserve"> </v>
      </c>
      <c r="M29" s="233" t="str">
        <f>TEXT('MASQUE DE SAISIE'!M33," ")</f>
        <v xml:space="preserve"> </v>
      </c>
      <c r="N29" s="236" t="str">
        <f>T('MASQUE DE SAISIE'!N33)</f>
        <v/>
      </c>
      <c r="O29" s="169"/>
      <c r="P29" s="169"/>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row>
    <row r="30" spans="1:125" ht="16.5" customHeight="1" x14ac:dyDescent="0.2">
      <c r="A30" s="167">
        <v>16</v>
      </c>
      <c r="B30" s="233" t="str">
        <f>TEXT('MASQUE DE SAISIE'!C34," ")</f>
        <v xml:space="preserve"> </v>
      </c>
      <c r="C30" s="234" t="str">
        <f>IF('MASQUE DE SAISIE'!D34='MASQUE DE SAISIE'!D34,'MASQUE DE SAISIE'!D34," ")</f>
        <v xml:space="preserve"> </v>
      </c>
      <c r="D30" s="233" t="str">
        <f>TEXT('MASQUE DE SAISIE'!E34," ")</f>
        <v xml:space="preserve"> </v>
      </c>
      <c r="E30" s="233" t="str">
        <f>IF('MASQUE DE SAISIE'!F34=0," ",(IF('MASQUE DE SAISIE'!F34="OUI","OUI",(IF('MASQUE DE SAISIE'!F34="NON","NON")))))</f>
        <v xml:space="preserve"> </v>
      </c>
      <c r="F30" s="233" t="str">
        <f>TEXT('MASQUE DE SAISIE'!G34," ")</f>
        <v xml:space="preserve"> </v>
      </c>
      <c r="G30" s="233" t="str">
        <f>IF('MASQUE DE SAISIE'!H34=0," ",(IF('MASQUE DE SAISIE'!H34="OUI","OUI",(IF('MASQUE DE SAISIE'!H34="NON","NON")))))</f>
        <v xml:space="preserve"> </v>
      </c>
      <c r="H30" s="168"/>
      <c r="I30" s="488" t="str">
        <f>TEXT('MASQUE DE SAISIE'!J34," ")</f>
        <v xml:space="preserve"> </v>
      </c>
      <c r="J30" s="489"/>
      <c r="K30" s="490"/>
      <c r="L30" s="233" t="str">
        <f>IF('MASQUE DE SAISIE'!L34=0," ",(IF('MASQUE DE SAISIE'!L34="OUI","OUI",(IF('MASQUE DE SAISIE'!L34="NON","NON")))))</f>
        <v xml:space="preserve"> </v>
      </c>
      <c r="M30" s="233" t="str">
        <f>TEXT('MASQUE DE SAISIE'!M34," ")</f>
        <v xml:space="preserve"> </v>
      </c>
      <c r="N30" s="236" t="str">
        <f>T('MASQUE DE SAISIE'!N34)</f>
        <v/>
      </c>
      <c r="O30" s="169"/>
      <c r="P30" s="169"/>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row>
    <row r="31" spans="1:125" ht="16.5" customHeight="1" x14ac:dyDescent="0.2">
      <c r="A31" s="167">
        <v>17</v>
      </c>
      <c r="B31" s="233" t="str">
        <f>TEXT('MASQUE DE SAISIE'!C35," ")</f>
        <v xml:space="preserve"> </v>
      </c>
      <c r="C31" s="234" t="str">
        <f>IF('MASQUE DE SAISIE'!D35='MASQUE DE SAISIE'!D35,'MASQUE DE SAISIE'!D35," ")</f>
        <v xml:space="preserve"> </v>
      </c>
      <c r="D31" s="233" t="str">
        <f>TEXT('MASQUE DE SAISIE'!E35," ")</f>
        <v xml:space="preserve"> </v>
      </c>
      <c r="E31" s="233" t="str">
        <f>IF('MASQUE DE SAISIE'!F35=0," ",(IF('MASQUE DE SAISIE'!F35="OUI","OUI",(IF('MASQUE DE SAISIE'!F35="NON","NON")))))</f>
        <v xml:space="preserve"> </v>
      </c>
      <c r="F31" s="233" t="str">
        <f>TEXT('MASQUE DE SAISIE'!G35," ")</f>
        <v xml:space="preserve"> </v>
      </c>
      <c r="G31" s="233" t="str">
        <f>IF('MASQUE DE SAISIE'!H35=0," ",(IF('MASQUE DE SAISIE'!H35="OUI","OUI",(IF('MASQUE DE SAISIE'!H35="NON","NON")))))</f>
        <v xml:space="preserve"> </v>
      </c>
      <c r="H31" s="168"/>
      <c r="I31" s="488" t="str">
        <f>TEXT('MASQUE DE SAISIE'!J35," ")</f>
        <v xml:space="preserve"> </v>
      </c>
      <c r="J31" s="489"/>
      <c r="K31" s="490"/>
      <c r="L31" s="233" t="str">
        <f>IF('MASQUE DE SAISIE'!L35=0," ",(IF('MASQUE DE SAISIE'!L35="OUI","OUI",(IF('MASQUE DE SAISIE'!L35="NON","NON")))))</f>
        <v xml:space="preserve"> </v>
      </c>
      <c r="M31" s="233" t="str">
        <f>TEXT('MASQUE DE SAISIE'!M35," ")</f>
        <v xml:space="preserve"> </v>
      </c>
      <c r="N31" s="236" t="str">
        <f>T('MASQUE DE SAISIE'!N35)</f>
        <v/>
      </c>
      <c r="O31" s="169"/>
      <c r="P31" s="169"/>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row>
    <row r="32" spans="1:125" ht="12" customHeight="1" thickBot="1" x14ac:dyDescent="0.25">
      <c r="A32" s="481" t="s">
        <v>43</v>
      </c>
      <c r="B32" s="482"/>
      <c r="C32" s="170" t="s">
        <v>44</v>
      </c>
      <c r="E32" s="235">
        <f>COUNTIF(E15:G31,"NON")</f>
        <v>2</v>
      </c>
      <c r="F32" s="170" t="s">
        <v>45</v>
      </c>
      <c r="G32" s="235">
        <f>COUNTIF(E15:G31,"OUI")</f>
        <v>11</v>
      </c>
      <c r="H32" s="171"/>
      <c r="I32" s="172"/>
      <c r="J32" s="173" t="s">
        <v>44</v>
      </c>
      <c r="K32" s="174"/>
      <c r="L32" s="235">
        <f>COUNTIF(L15:L31,"NON")</f>
        <v>0</v>
      </c>
      <c r="M32" s="170" t="s">
        <v>45</v>
      </c>
      <c r="N32" s="110">
        <f>COUNTIF(L15:L31,"OUI")</f>
        <v>6</v>
      </c>
      <c r="P32" s="169"/>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row>
    <row r="33" spans="1:125" x14ac:dyDescent="0.2">
      <c r="A33" s="175" t="s">
        <v>74</v>
      </c>
      <c r="B33" s="91"/>
      <c r="C33" s="91"/>
      <c r="D33" s="91"/>
      <c r="E33" s="91"/>
      <c r="F33" s="91"/>
      <c r="G33" s="91"/>
      <c r="H33" s="91"/>
      <c r="I33" s="91"/>
      <c r="J33" s="91"/>
      <c r="K33" s="91"/>
      <c r="L33" s="91"/>
      <c r="M33" s="91"/>
      <c r="N33" s="176"/>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row>
    <row r="34" spans="1:125" x14ac:dyDescent="0.2">
      <c r="A34" s="177" t="s">
        <v>28</v>
      </c>
      <c r="B34" s="21"/>
      <c r="C34" s="21"/>
      <c r="D34" s="21"/>
      <c r="E34" s="21"/>
      <c r="F34" s="21"/>
      <c r="G34" s="21"/>
      <c r="H34" s="21"/>
      <c r="I34" s="21"/>
      <c r="J34" s="21"/>
      <c r="K34" s="21"/>
      <c r="L34" s="21"/>
      <c r="M34" s="21"/>
      <c r="N34" s="178"/>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row>
    <row r="35" spans="1:125" x14ac:dyDescent="0.2">
      <c r="A35" s="177" t="s">
        <v>29</v>
      </c>
      <c r="B35" s="21"/>
      <c r="C35" s="21"/>
      <c r="D35" s="21"/>
      <c r="E35" s="21"/>
      <c r="F35" s="21"/>
      <c r="G35" s="21"/>
      <c r="H35" s="21"/>
      <c r="I35" s="21"/>
      <c r="J35" s="21"/>
      <c r="K35" s="21"/>
      <c r="L35" s="21"/>
      <c r="M35" s="21"/>
      <c r="N35" s="178"/>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row>
    <row r="36" spans="1:125" x14ac:dyDescent="0.2">
      <c r="A36" s="179" t="s">
        <v>151</v>
      </c>
      <c r="B36" s="21"/>
      <c r="C36" s="21"/>
      <c r="D36" s="21"/>
      <c r="E36" s="21"/>
      <c r="F36" s="21"/>
      <c r="G36" s="21"/>
      <c r="H36" s="21"/>
      <c r="I36" s="21"/>
      <c r="J36" s="21"/>
      <c r="K36" s="21"/>
      <c r="L36" s="21"/>
      <c r="M36" s="21"/>
      <c r="N36" s="178"/>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row>
    <row r="37" spans="1:125" x14ac:dyDescent="0.2">
      <c r="A37" s="177" t="s">
        <v>21</v>
      </c>
      <c r="B37" s="21"/>
      <c r="C37" s="21"/>
      <c r="D37" s="21"/>
      <c r="E37" s="21"/>
      <c r="F37" s="21"/>
      <c r="G37" s="21"/>
      <c r="H37" s="21"/>
      <c r="I37" s="169"/>
      <c r="J37" s="169"/>
      <c r="K37" s="169"/>
      <c r="L37" s="21"/>
      <c r="M37" s="21"/>
      <c r="N37" s="178"/>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row>
    <row r="38" spans="1:125" x14ac:dyDescent="0.2">
      <c r="A38" s="177" t="s">
        <v>36</v>
      </c>
      <c r="B38" s="21"/>
      <c r="C38" s="21"/>
      <c r="D38" s="21"/>
      <c r="E38" s="21"/>
      <c r="F38" s="21"/>
      <c r="G38" s="21"/>
      <c r="H38" s="21"/>
      <c r="I38" s="21"/>
      <c r="J38" s="21"/>
      <c r="K38" s="21"/>
      <c r="L38" s="21"/>
      <c r="M38" s="21"/>
      <c r="N38" s="178"/>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row>
    <row r="39" spans="1:125" ht="13.5" thickBot="1" x14ac:dyDescent="0.25">
      <c r="A39" s="180" t="s">
        <v>34</v>
      </c>
      <c r="B39" s="181"/>
      <c r="C39" s="181"/>
      <c r="D39" s="181"/>
      <c r="E39" s="181"/>
      <c r="F39" s="181"/>
      <c r="G39" s="181"/>
      <c r="H39" s="181"/>
      <c r="I39" s="181"/>
      <c r="J39" s="181"/>
      <c r="K39" s="181"/>
      <c r="L39" s="181"/>
      <c r="M39" s="181"/>
      <c r="N39" s="182"/>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row>
    <row r="40" spans="1:125" ht="16.5" thickBot="1" x14ac:dyDescent="0.3">
      <c r="A40" s="491" t="s">
        <v>39</v>
      </c>
      <c r="B40" s="491"/>
      <c r="C40" s="491"/>
      <c r="D40" s="491"/>
      <c r="E40" s="491"/>
      <c r="F40" s="491"/>
      <c r="G40" s="491"/>
      <c r="H40" s="491"/>
      <c r="I40" s="491"/>
      <c r="J40" s="491"/>
      <c r="K40" s="491"/>
      <c r="L40" s="491"/>
      <c r="M40" s="491"/>
      <c r="N40" s="491"/>
      <c r="O40" s="120"/>
      <c r="P40" s="120"/>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row>
    <row r="41" spans="1:125" ht="13.5" thickBot="1" x14ac:dyDescent="0.25">
      <c r="A41" s="483" t="s">
        <v>12</v>
      </c>
      <c r="B41" s="484"/>
      <c r="C41" s="485"/>
      <c r="D41" s="520" t="s">
        <v>67</v>
      </c>
      <c r="E41" s="521"/>
      <c r="F41" s="521"/>
      <c r="G41" s="521"/>
      <c r="H41" s="183"/>
      <c r="I41" s="520" t="s">
        <v>58</v>
      </c>
      <c r="J41" s="521"/>
      <c r="K41" s="521"/>
      <c r="L41" s="521"/>
      <c r="M41" s="521"/>
      <c r="N41" s="522"/>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row>
    <row r="42" spans="1:125" ht="13.5" thickBot="1" x14ac:dyDescent="0.25">
      <c r="A42" s="486"/>
      <c r="B42" s="487"/>
      <c r="C42" s="341"/>
      <c r="D42" s="184" t="s">
        <v>13</v>
      </c>
      <c r="E42" s="184" t="s">
        <v>14</v>
      </c>
      <c r="F42" s="184" t="s">
        <v>8</v>
      </c>
      <c r="G42" s="185" t="s">
        <v>7</v>
      </c>
      <c r="H42" s="183"/>
      <c r="I42" s="517" t="s">
        <v>13</v>
      </c>
      <c r="J42" s="518"/>
      <c r="K42" s="519"/>
      <c r="L42" s="184" t="s">
        <v>14</v>
      </c>
      <c r="M42" s="184" t="s">
        <v>8</v>
      </c>
      <c r="N42" s="184" t="s">
        <v>7</v>
      </c>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row>
    <row r="43" spans="1:125" ht="15.75" x14ac:dyDescent="0.25">
      <c r="A43" s="90" t="s">
        <v>26</v>
      </c>
      <c r="B43" s="51"/>
      <c r="C43" s="186"/>
      <c r="D43" s="240">
        <f>IF(F9&lt;=20,E32," ")</f>
        <v>2</v>
      </c>
      <c r="E43" s="187">
        <v>1100</v>
      </c>
      <c r="F43" s="1">
        <f>IF(F9&lt;=20,D43*E43," ")</f>
        <v>2200</v>
      </c>
      <c r="G43" s="237">
        <f>IF(F9&lt;=20,'MASQUE DE SAISIE'!E65," ")</f>
        <v>0</v>
      </c>
      <c r="H43" s="189"/>
      <c r="I43" s="525" t="str">
        <f>IF(F9&gt;=21,E32," ")</f>
        <v xml:space="preserve"> </v>
      </c>
      <c r="J43" s="526"/>
      <c r="K43" s="527"/>
      <c r="L43" s="188">
        <v>1300</v>
      </c>
      <c r="M43" s="237" t="str">
        <f>IF(F9&gt;=21,I43*L43," ")</f>
        <v xml:space="preserve"> </v>
      </c>
      <c r="N43" s="237" t="str">
        <f>IF(F9&gt;=21,'MASQUE DE SAISIE'!E65," ")</f>
        <v xml:space="preserve"> </v>
      </c>
      <c r="O43" s="21"/>
      <c r="P43" s="190"/>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row>
    <row r="44" spans="1:125" ht="15.75" x14ac:dyDescent="0.25">
      <c r="A44" s="191" t="s">
        <v>27</v>
      </c>
      <c r="B44" s="19"/>
      <c r="C44" s="192"/>
      <c r="D44" s="240">
        <f>IF(F9&lt;=20,G32," ")</f>
        <v>11</v>
      </c>
      <c r="E44" s="3">
        <f>+E43/4</f>
        <v>275</v>
      </c>
      <c r="F44" s="3">
        <f>IF(F9&lt;=20,D44*E44," ")</f>
        <v>3025</v>
      </c>
      <c r="G44" s="237">
        <f>IF(F9&lt;=20,'MASQUE DE SAISIE'!E66," ")</f>
        <v>0</v>
      </c>
      <c r="H44" s="189"/>
      <c r="I44" s="528" t="str">
        <f>IF(F9&gt;=21,G32," ")</f>
        <v xml:space="preserve"> </v>
      </c>
      <c r="J44" s="529"/>
      <c r="K44" s="530"/>
      <c r="L44" s="3">
        <f>+L43/4</f>
        <v>325</v>
      </c>
      <c r="M44" s="3" t="str">
        <f>IF(F9&gt;=21,I44*L44," ")</f>
        <v xml:space="preserve"> </v>
      </c>
      <c r="N44" s="3" t="str">
        <f>IF(F9&gt;=21,'MASQUE DE SAISIE'!E66," ")</f>
        <v xml:space="preserve"> </v>
      </c>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c r="DL44" s="21"/>
      <c r="DM44" s="21"/>
      <c r="DN44" s="21"/>
      <c r="DO44" s="21"/>
      <c r="DP44" s="21"/>
      <c r="DQ44" s="21"/>
      <c r="DR44" s="21"/>
      <c r="DS44" s="21"/>
      <c r="DT44" s="21"/>
      <c r="DU44" s="21"/>
    </row>
    <row r="45" spans="1:125" x14ac:dyDescent="0.2">
      <c r="A45" s="191" t="s">
        <v>38</v>
      </c>
      <c r="B45" s="19"/>
      <c r="C45" s="192"/>
      <c r="D45" s="240">
        <f>IF(F9&lt;=20,L32," ")</f>
        <v>0</v>
      </c>
      <c r="E45" s="193">
        <v>1600</v>
      </c>
      <c r="F45" s="3">
        <f>IF(F9&lt;=20,D45*E45," ")</f>
        <v>0</v>
      </c>
      <c r="G45" s="237">
        <f>IF(F9&lt;=20,'MASQUE DE SAISIE'!E67," ")</f>
        <v>0</v>
      </c>
      <c r="H45" s="189"/>
      <c r="I45" s="528" t="str">
        <f>IF(F9&gt;=21,L32," ")</f>
        <v xml:space="preserve"> </v>
      </c>
      <c r="J45" s="529"/>
      <c r="K45" s="530"/>
      <c r="L45" s="193">
        <v>2300</v>
      </c>
      <c r="M45" s="3" t="str">
        <f>IF(F9&gt;=21,I45*L45," ")</f>
        <v xml:space="preserve"> </v>
      </c>
      <c r="N45" s="3" t="str">
        <f>IF(F9&gt;=21,'MASQUE DE SAISIE'!E67," ")</f>
        <v xml:space="preserve"> </v>
      </c>
      <c r="O45" s="190"/>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c r="DJ45" s="21"/>
      <c r="DK45" s="21"/>
      <c r="DL45" s="21"/>
      <c r="DM45" s="21"/>
      <c r="DN45" s="21"/>
      <c r="DO45" s="21"/>
      <c r="DP45" s="21"/>
      <c r="DQ45" s="21"/>
      <c r="DR45" s="21"/>
      <c r="DS45" s="21"/>
      <c r="DT45" s="21"/>
      <c r="DU45" s="21"/>
    </row>
    <row r="46" spans="1:125" ht="13.5" thickBot="1" x14ac:dyDescent="0.25">
      <c r="A46" s="191" t="s">
        <v>37</v>
      </c>
      <c r="B46" s="19"/>
      <c r="C46" s="192"/>
      <c r="D46" s="241">
        <f>IF(F9&lt;=20,N32," ")</f>
        <v>6</v>
      </c>
      <c r="E46" s="2">
        <f>+E45/4</f>
        <v>400</v>
      </c>
      <c r="F46" s="3">
        <f>IF(F9&lt;=20,D46*E46," ")</f>
        <v>2400</v>
      </c>
      <c r="G46" s="237">
        <f>IF(F9&lt;=20,'MASQUE DE SAISIE'!E68," ")</f>
        <v>0</v>
      </c>
      <c r="H46" s="189"/>
      <c r="I46" s="537" t="str">
        <f>IF(F9&gt;=21,N32," ")</f>
        <v xml:space="preserve"> </v>
      </c>
      <c r="J46" s="538"/>
      <c r="K46" s="539"/>
      <c r="L46" s="2">
        <f>+L45/4</f>
        <v>575</v>
      </c>
      <c r="M46" s="3" t="str">
        <f>IF(F9&gt;=21,I46*L46," ")</f>
        <v xml:space="preserve"> </v>
      </c>
      <c r="N46" s="3" t="str">
        <f>IF(F9&gt;=21,'MASQUE DE SAISIE'!E68," ")</f>
        <v xml:space="preserve"> </v>
      </c>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c r="DJ46" s="21"/>
      <c r="DK46" s="21"/>
      <c r="DL46" s="21"/>
      <c r="DM46" s="21"/>
      <c r="DN46" s="21"/>
      <c r="DO46" s="21"/>
      <c r="DP46" s="21"/>
      <c r="DQ46" s="21"/>
      <c r="DR46" s="21"/>
      <c r="DS46" s="21"/>
      <c r="DT46" s="21"/>
      <c r="DU46" s="21"/>
    </row>
    <row r="47" spans="1:125" ht="13.5" thickBot="1" x14ac:dyDescent="0.25">
      <c r="A47" s="191" t="s">
        <v>60</v>
      </c>
      <c r="B47" s="19"/>
      <c r="C47" s="19"/>
      <c r="D47" s="493" t="s">
        <v>61</v>
      </c>
      <c r="E47" s="494"/>
      <c r="F47" s="238">
        <f>IF(F9&lt;=20,'MASQUE DE SAISIE'!E55," ")</f>
        <v>0</v>
      </c>
      <c r="G47" s="239">
        <f>IF(F9&lt;=20,'MASQUE DE SAISIE'!E69," ")</f>
        <v>0</v>
      </c>
      <c r="H47" s="194"/>
      <c r="I47" s="493" t="s">
        <v>61</v>
      </c>
      <c r="J47" s="495"/>
      <c r="K47" s="495"/>
      <c r="L47" s="494"/>
      <c r="M47" s="238" t="str">
        <f>IF(F9&gt;=21,'MASQUE DE SAISIE'!E55," ")</f>
        <v xml:space="preserve"> </v>
      </c>
      <c r="N47" s="239" t="str">
        <f>IF(F9&gt;=21,'MASQUE DE SAISIE'!E69," ")</f>
        <v xml:space="preserve"> </v>
      </c>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c r="DJ47" s="21"/>
      <c r="DK47" s="21"/>
      <c r="DL47" s="21"/>
      <c r="DM47" s="21"/>
      <c r="DN47" s="21"/>
      <c r="DO47" s="21"/>
      <c r="DP47" s="21"/>
      <c r="DQ47" s="21"/>
      <c r="DR47" s="21"/>
      <c r="DS47" s="21"/>
      <c r="DT47" s="21"/>
      <c r="DU47" s="21"/>
    </row>
    <row r="48" spans="1:125" ht="13.5" thickBot="1" x14ac:dyDescent="0.25">
      <c r="A48" s="195" t="s">
        <v>35</v>
      </c>
      <c r="B48" s="196"/>
      <c r="C48" s="196"/>
      <c r="D48" s="242">
        <f>IF(F9&lt;=20,'MASQUE DE SAISIE'!E78," ")</f>
        <v>620</v>
      </c>
      <c r="E48" s="197">
        <v>7</v>
      </c>
      <c r="F48" s="3">
        <f>IF(F9&lt;=20,'MASQUE DE SAISIE'!H78," ")</f>
        <v>4340</v>
      </c>
      <c r="G48" s="239">
        <f>IF(F9&lt;=20,'MASQUE DE SAISIE'!H78," ")</f>
        <v>4340</v>
      </c>
      <c r="H48" s="198"/>
      <c r="I48" s="496" t="str">
        <f>IF(F9&gt;=21,'MASQUE DE SAISIE'!E78," ")</f>
        <v xml:space="preserve"> </v>
      </c>
      <c r="J48" s="496"/>
      <c r="K48" s="496"/>
      <c r="L48" s="197">
        <v>7</v>
      </c>
      <c r="M48" s="3" t="str">
        <f>IF(F9&gt;=21,'MASQUE DE SAISIE'!H78," ")</f>
        <v xml:space="preserve"> </v>
      </c>
      <c r="N48" s="239" t="str">
        <f>IF(F9&gt;=21,'MASQUE DE SAISIE'!H78," ")</f>
        <v xml:space="preserve"> </v>
      </c>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c r="DL48" s="21"/>
      <c r="DM48" s="21"/>
      <c r="DN48" s="21"/>
      <c r="DO48" s="21"/>
      <c r="DP48" s="21"/>
      <c r="DQ48" s="21"/>
      <c r="DR48" s="21"/>
      <c r="DS48" s="21"/>
      <c r="DT48" s="21"/>
      <c r="DU48" s="21"/>
    </row>
    <row r="49" spans="1:125" ht="15.75" customHeight="1" thickBot="1" x14ac:dyDescent="0.3">
      <c r="A49" s="199" t="s">
        <v>24</v>
      </c>
      <c r="B49" s="200"/>
      <c r="C49" s="201"/>
      <c r="D49" s="440" t="s">
        <v>9</v>
      </c>
      <c r="E49" s="441"/>
      <c r="F49" s="239">
        <f>SUM(F43:F47)</f>
        <v>7625</v>
      </c>
      <c r="G49" s="239">
        <f>SUM(G47:G48)</f>
        <v>4340</v>
      </c>
      <c r="H49" s="198"/>
      <c r="I49" s="440" t="s">
        <v>9</v>
      </c>
      <c r="J49" s="492"/>
      <c r="K49" s="492"/>
      <c r="L49" s="441"/>
      <c r="M49" s="239">
        <f>SUM(M43:M47)</f>
        <v>0</v>
      </c>
      <c r="N49" s="239">
        <f>SUM(N47:N48)</f>
        <v>0</v>
      </c>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c r="DA49" s="21"/>
      <c r="DB49" s="21"/>
      <c r="DC49" s="21"/>
      <c r="DD49" s="21"/>
      <c r="DE49" s="21"/>
      <c r="DF49" s="21"/>
      <c r="DG49" s="21"/>
      <c r="DH49" s="21"/>
      <c r="DI49" s="21"/>
      <c r="DJ49" s="21"/>
      <c r="DK49" s="21"/>
      <c r="DL49" s="21"/>
      <c r="DM49" s="21"/>
      <c r="DN49" s="21"/>
      <c r="DO49" s="21"/>
      <c r="DP49" s="21"/>
      <c r="DQ49" s="21"/>
      <c r="DR49" s="21"/>
      <c r="DS49" s="21"/>
      <c r="DT49" s="21"/>
      <c r="DU49" s="21"/>
    </row>
    <row r="50" spans="1:125" ht="16.5" customHeight="1" thickBot="1" x14ac:dyDescent="0.3">
      <c r="A50" s="202" t="s">
        <v>25</v>
      </c>
      <c r="B50" s="203"/>
      <c r="C50" s="204"/>
      <c r="D50" s="440" t="s">
        <v>10</v>
      </c>
      <c r="E50" s="441"/>
      <c r="F50" s="559">
        <f>F49+G49</f>
        <v>11965</v>
      </c>
      <c r="G50" s="560"/>
      <c r="H50" s="205"/>
      <c r="I50" s="440" t="s">
        <v>10</v>
      </c>
      <c r="J50" s="492"/>
      <c r="K50" s="492"/>
      <c r="L50" s="441"/>
      <c r="M50" s="559">
        <f>M49+N49</f>
        <v>0</v>
      </c>
      <c r="N50" s="560"/>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row>
    <row r="51" spans="1:125" ht="15.75" customHeight="1" thickBot="1" x14ac:dyDescent="0.3">
      <c r="A51" s="202" t="s">
        <v>41</v>
      </c>
      <c r="B51" s="206"/>
      <c r="C51" s="207"/>
      <c r="D51" s="440" t="s">
        <v>23</v>
      </c>
      <c r="E51" s="441"/>
      <c r="F51" s="559">
        <f>IF(F9&gt;=20,'MASQUE DE SAISIE'!E81,"0")</f>
        <v>0</v>
      </c>
      <c r="G51" s="560"/>
      <c r="H51" s="205"/>
      <c r="I51" s="440" t="s">
        <v>23</v>
      </c>
      <c r="J51" s="492"/>
      <c r="K51" s="492"/>
      <c r="L51" s="441"/>
      <c r="M51" s="559" t="str">
        <f>IF(F9&gt;=21,'MASQUE DE SAISIE'!E81,"0")</f>
        <v>0</v>
      </c>
      <c r="N51" s="560"/>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c r="DL51" s="21"/>
      <c r="DM51" s="21"/>
      <c r="DN51" s="21"/>
      <c r="DO51" s="21"/>
      <c r="DP51" s="21"/>
      <c r="DQ51" s="21"/>
      <c r="DR51" s="21"/>
      <c r="DS51" s="21"/>
      <c r="DT51" s="21"/>
      <c r="DU51" s="21"/>
    </row>
    <row r="52" spans="1:125" ht="13.5" customHeight="1" thickBot="1" x14ac:dyDescent="0.25">
      <c r="A52" s="561" t="s">
        <v>42</v>
      </c>
      <c r="B52" s="562"/>
      <c r="C52" s="563"/>
      <c r="D52" s="481" t="s">
        <v>22</v>
      </c>
      <c r="E52" s="558"/>
      <c r="F52" s="555">
        <f>F50-F51</f>
        <v>11965</v>
      </c>
      <c r="G52" s="556"/>
      <c r="H52" s="205"/>
      <c r="I52" s="481" t="s">
        <v>22</v>
      </c>
      <c r="J52" s="557"/>
      <c r="K52" s="557"/>
      <c r="L52" s="558"/>
      <c r="M52" s="559">
        <f>M50-M51</f>
        <v>0</v>
      </c>
      <c r="N52" s="560"/>
      <c r="O52" s="21"/>
      <c r="P52" s="208"/>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1"/>
      <c r="CY52" s="21"/>
      <c r="CZ52" s="21"/>
      <c r="DA52" s="21"/>
      <c r="DB52" s="21"/>
      <c r="DC52" s="21"/>
      <c r="DD52" s="21"/>
      <c r="DE52" s="21"/>
      <c r="DF52" s="21"/>
      <c r="DG52" s="21"/>
      <c r="DH52" s="21"/>
      <c r="DI52" s="21"/>
      <c r="DJ52" s="21"/>
      <c r="DK52" s="21"/>
      <c r="DL52" s="21"/>
      <c r="DM52" s="21"/>
      <c r="DN52" s="21"/>
      <c r="DO52" s="21"/>
      <c r="DP52" s="21"/>
      <c r="DQ52" s="21"/>
      <c r="DR52" s="21"/>
      <c r="DS52" s="21"/>
      <c r="DT52" s="21"/>
      <c r="DU52" s="21"/>
    </row>
    <row r="53" spans="1:125" ht="27.75" hidden="1" customHeight="1" thickBot="1" x14ac:dyDescent="0.25">
      <c r="A53" s="117"/>
      <c r="B53" s="117"/>
      <c r="C53" s="117"/>
      <c r="D53" s="169"/>
      <c r="E53" s="169"/>
      <c r="F53" s="205"/>
      <c r="G53" s="205"/>
      <c r="H53" s="205"/>
      <c r="I53" s="169"/>
      <c r="J53" s="169"/>
      <c r="K53" s="169"/>
      <c r="L53" s="169"/>
      <c r="M53" s="209"/>
      <c r="N53" s="209"/>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c r="DL53" s="21"/>
      <c r="DM53" s="21"/>
      <c r="DN53" s="21"/>
      <c r="DO53" s="21"/>
      <c r="DP53" s="21"/>
      <c r="DQ53" s="21"/>
      <c r="DR53" s="21"/>
      <c r="DS53" s="21"/>
      <c r="DT53" s="21"/>
      <c r="DU53" s="21"/>
    </row>
    <row r="54" spans="1:125" x14ac:dyDescent="0.2">
      <c r="A54" s="90" t="s">
        <v>30</v>
      </c>
      <c r="B54" s="51"/>
      <c r="C54" s="51"/>
      <c r="D54" s="91"/>
      <c r="E54" s="210"/>
      <c r="F54" s="210"/>
      <c r="G54" s="544"/>
      <c r="H54" s="544"/>
      <c r="I54" s="544"/>
      <c r="J54" s="544"/>
      <c r="K54" s="544"/>
      <c r="L54" s="544"/>
      <c r="M54" s="544"/>
      <c r="N54" s="545"/>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c r="DL54" s="21"/>
      <c r="DM54" s="21"/>
      <c r="DN54" s="21"/>
      <c r="DO54" s="21"/>
      <c r="DP54" s="21"/>
      <c r="DQ54" s="21"/>
      <c r="DR54" s="21"/>
      <c r="DS54" s="21"/>
      <c r="DT54" s="21"/>
      <c r="DU54" s="21"/>
    </row>
    <row r="55" spans="1:125" ht="21.75" customHeight="1" thickBot="1" x14ac:dyDescent="0.25">
      <c r="A55" s="552" t="str">
        <f>UPPER(IF(F52&lt;0,ChiffreEnLettre(-F52,F53,F54),IF(M52&lt;0,ChiffreEnLettre(-M52,M53,M54),IF(F9&lt;21,ChiffreEnLettre(F52,F53,F54),IF(F9&gt;=21,ChiffreEnLettre(M52,M53,M54),"ERREUR ")))))</f>
        <v>ONZE MILLE NEUF CENT SOIXANTE CINQ DINARS</v>
      </c>
      <c r="B55" s="553"/>
      <c r="C55" s="553"/>
      <c r="D55" s="553"/>
      <c r="E55" s="553"/>
      <c r="F55" s="553"/>
      <c r="G55" s="553"/>
      <c r="H55" s="553"/>
      <c r="I55" s="553"/>
      <c r="J55" s="553"/>
      <c r="K55" s="553"/>
      <c r="L55" s="553"/>
      <c r="M55" s="553"/>
      <c r="N55" s="554"/>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c r="DA55" s="21"/>
      <c r="DB55" s="21"/>
      <c r="DC55" s="21"/>
      <c r="DD55" s="21"/>
      <c r="DE55" s="21"/>
      <c r="DF55" s="21"/>
      <c r="DG55" s="21"/>
      <c r="DH55" s="21"/>
      <c r="DI55" s="21"/>
      <c r="DJ55" s="21"/>
      <c r="DK55" s="21"/>
      <c r="DL55" s="21"/>
      <c r="DM55" s="21"/>
      <c r="DN55" s="21"/>
      <c r="DO55" s="21"/>
      <c r="DP55" s="21"/>
      <c r="DQ55" s="21"/>
      <c r="DR55" s="21"/>
      <c r="DS55" s="21"/>
      <c r="DT55" s="21"/>
      <c r="DU55" s="21"/>
    </row>
    <row r="56" spans="1:125" ht="12.75" customHeight="1" x14ac:dyDescent="0.2">
      <c r="A56" s="531" t="s">
        <v>54</v>
      </c>
      <c r="B56" s="566"/>
      <c r="C56" s="532"/>
      <c r="D56" s="546" t="s">
        <v>140</v>
      </c>
      <c r="E56" s="547"/>
      <c r="F56" s="547"/>
      <c r="G56" s="546" t="s">
        <v>118</v>
      </c>
      <c r="H56" s="547"/>
      <c r="I56" s="547"/>
      <c r="J56" s="547"/>
      <c r="K56" s="547"/>
      <c r="L56" s="550"/>
      <c r="M56" s="540" t="s">
        <v>141</v>
      </c>
      <c r="N56" s="541"/>
      <c r="O56" s="211"/>
      <c r="P56" s="21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c r="DH56" s="21"/>
      <c r="DI56" s="21"/>
      <c r="DJ56" s="21"/>
      <c r="DK56" s="21"/>
      <c r="DL56" s="21"/>
      <c r="DM56" s="21"/>
      <c r="DN56" s="21"/>
      <c r="DO56" s="21"/>
      <c r="DP56" s="21"/>
      <c r="DQ56" s="21"/>
      <c r="DR56" s="21"/>
      <c r="DS56" s="21"/>
      <c r="DT56" s="21"/>
      <c r="DU56" s="21"/>
    </row>
    <row r="57" spans="1:125" ht="13.5" thickBot="1" x14ac:dyDescent="0.25">
      <c r="A57" s="466" t="s">
        <v>11</v>
      </c>
      <c r="B57" s="564"/>
      <c r="C57" s="565"/>
      <c r="D57" s="548"/>
      <c r="E57" s="549"/>
      <c r="F57" s="549"/>
      <c r="G57" s="548"/>
      <c r="H57" s="549"/>
      <c r="I57" s="549"/>
      <c r="J57" s="549"/>
      <c r="K57" s="549"/>
      <c r="L57" s="551"/>
      <c r="M57" s="542"/>
      <c r="N57" s="543"/>
      <c r="O57" s="211"/>
      <c r="P57" s="21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c r="CK57" s="21"/>
      <c r="CL57" s="21"/>
      <c r="CM57" s="21"/>
      <c r="CN57" s="21"/>
      <c r="CO57" s="21"/>
      <c r="CP57" s="21"/>
      <c r="CQ57" s="21"/>
      <c r="CR57" s="21"/>
      <c r="CS57" s="21"/>
      <c r="CT57" s="21"/>
      <c r="CU57" s="21"/>
      <c r="CV57" s="21"/>
      <c r="CW57" s="21"/>
      <c r="CX57" s="21"/>
      <c r="CY57" s="21"/>
      <c r="CZ57" s="21"/>
      <c r="DA57" s="21"/>
      <c r="DB57" s="21"/>
      <c r="DC57" s="21"/>
      <c r="DD57" s="21"/>
      <c r="DE57" s="21"/>
      <c r="DF57" s="21"/>
      <c r="DG57" s="21"/>
      <c r="DH57" s="21"/>
      <c r="DI57" s="21"/>
      <c r="DJ57" s="21"/>
      <c r="DK57" s="21"/>
      <c r="DL57" s="21"/>
      <c r="DM57" s="21"/>
      <c r="DN57" s="21"/>
      <c r="DO57" s="21"/>
      <c r="DP57" s="21"/>
      <c r="DQ57" s="21"/>
      <c r="DR57" s="21"/>
      <c r="DS57" s="21"/>
      <c r="DT57" s="21"/>
      <c r="DU57" s="21"/>
    </row>
    <row r="58" spans="1:125" ht="12.75" customHeight="1" x14ac:dyDescent="0.2">
      <c r="A58" s="442"/>
      <c r="B58" s="443"/>
      <c r="C58" s="444"/>
      <c r="D58" s="451"/>
      <c r="E58" s="452"/>
      <c r="F58" s="453"/>
      <c r="G58" s="460"/>
      <c r="H58" s="461"/>
      <c r="I58" s="461"/>
      <c r="J58" s="461"/>
      <c r="K58" s="461"/>
      <c r="L58" s="462"/>
      <c r="M58" s="531"/>
      <c r="N58" s="532"/>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c r="DL58" s="21"/>
      <c r="DM58" s="21"/>
      <c r="DN58" s="21"/>
      <c r="DO58" s="21"/>
      <c r="DP58" s="21"/>
      <c r="DQ58" s="21"/>
      <c r="DR58" s="21"/>
      <c r="DS58" s="21"/>
      <c r="DT58" s="21"/>
      <c r="DU58" s="21"/>
    </row>
    <row r="59" spans="1:125" ht="0.95" customHeight="1" x14ac:dyDescent="0.2">
      <c r="A59" s="445"/>
      <c r="B59" s="446"/>
      <c r="C59" s="447"/>
      <c r="D59" s="454"/>
      <c r="E59" s="455"/>
      <c r="F59" s="456"/>
      <c r="G59" s="463"/>
      <c r="H59" s="464"/>
      <c r="I59" s="464"/>
      <c r="J59" s="464"/>
      <c r="K59" s="464"/>
      <c r="L59" s="465"/>
      <c r="M59" s="533"/>
      <c r="N59" s="534"/>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row>
    <row r="60" spans="1:125" ht="12.75" customHeight="1" x14ac:dyDescent="0.2">
      <c r="A60" s="445"/>
      <c r="B60" s="446"/>
      <c r="C60" s="447"/>
      <c r="D60" s="454"/>
      <c r="E60" s="455"/>
      <c r="F60" s="456"/>
      <c r="G60" s="463"/>
      <c r="H60" s="464"/>
      <c r="I60" s="464"/>
      <c r="J60" s="464"/>
      <c r="K60" s="464"/>
      <c r="L60" s="465"/>
      <c r="M60" s="533"/>
      <c r="N60" s="534"/>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row>
    <row r="61" spans="1:125" x14ac:dyDescent="0.2">
      <c r="A61" s="445"/>
      <c r="B61" s="446"/>
      <c r="C61" s="447"/>
      <c r="D61" s="454"/>
      <c r="E61" s="455"/>
      <c r="F61" s="456"/>
      <c r="G61" s="463"/>
      <c r="H61" s="464"/>
      <c r="I61" s="464"/>
      <c r="J61" s="464"/>
      <c r="K61" s="464"/>
      <c r="L61" s="465"/>
      <c r="M61" s="533"/>
      <c r="N61" s="534"/>
      <c r="O61" s="198"/>
      <c r="P61" s="198"/>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C61" s="21"/>
      <c r="BD61" s="21"/>
      <c r="BE61" s="21"/>
      <c r="BF61" s="21"/>
      <c r="BG61" s="21"/>
      <c r="BH61" s="21"/>
      <c r="BI61" s="21"/>
      <c r="BJ61" s="21"/>
      <c r="BK61" s="21"/>
      <c r="BL61" s="21"/>
      <c r="BM61" s="21"/>
      <c r="BN61" s="21"/>
      <c r="BO61" s="21"/>
      <c r="BP61" s="21"/>
      <c r="BQ61" s="21"/>
      <c r="BR61" s="21"/>
      <c r="BS61" s="21"/>
      <c r="BT61" s="21"/>
      <c r="BU61" s="21"/>
      <c r="BV61" s="21"/>
      <c r="BW61" s="21"/>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c r="DA61" s="21"/>
      <c r="DB61" s="21"/>
      <c r="DC61" s="21"/>
      <c r="DD61" s="21"/>
      <c r="DE61" s="21"/>
      <c r="DF61" s="21"/>
      <c r="DG61" s="21"/>
      <c r="DH61" s="21"/>
      <c r="DI61" s="21"/>
      <c r="DJ61" s="21"/>
      <c r="DK61" s="21"/>
      <c r="DL61" s="21"/>
      <c r="DM61" s="21"/>
      <c r="DN61" s="21"/>
      <c r="DO61" s="21"/>
      <c r="DP61" s="21"/>
      <c r="DQ61" s="21"/>
      <c r="DR61" s="21"/>
      <c r="DS61" s="21"/>
      <c r="DT61" s="21"/>
      <c r="DU61" s="21"/>
    </row>
    <row r="62" spans="1:125" ht="13.5" thickBot="1" x14ac:dyDescent="0.25">
      <c r="A62" s="448"/>
      <c r="B62" s="449"/>
      <c r="C62" s="450"/>
      <c r="D62" s="457"/>
      <c r="E62" s="458"/>
      <c r="F62" s="459"/>
      <c r="G62" s="466"/>
      <c r="H62" s="467"/>
      <c r="I62" s="467"/>
      <c r="J62" s="467"/>
      <c r="K62" s="467"/>
      <c r="L62" s="468"/>
      <c r="M62" s="535"/>
      <c r="N62" s="536"/>
      <c r="O62" s="198"/>
      <c r="P62" s="198"/>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C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c r="DA62" s="21"/>
      <c r="DB62" s="21"/>
      <c r="DC62" s="21"/>
      <c r="DD62" s="21"/>
      <c r="DE62" s="21"/>
      <c r="DF62" s="21"/>
      <c r="DG62" s="21"/>
      <c r="DH62" s="21"/>
      <c r="DI62" s="21"/>
      <c r="DJ62" s="21"/>
      <c r="DK62" s="21"/>
      <c r="DL62" s="21"/>
      <c r="DM62" s="21"/>
      <c r="DN62" s="21"/>
      <c r="DO62" s="21"/>
      <c r="DP62" s="21"/>
      <c r="DQ62" s="21"/>
      <c r="DR62" s="21"/>
      <c r="DS62" s="21"/>
      <c r="DT62" s="21"/>
      <c r="DU62" s="21"/>
    </row>
    <row r="63" spans="1:125" ht="12.75" customHeight="1" x14ac:dyDescent="0.2">
      <c r="A63" s="475" t="s">
        <v>139</v>
      </c>
      <c r="B63" s="476"/>
      <c r="C63" s="477"/>
      <c r="D63" s="475" t="s">
        <v>153</v>
      </c>
      <c r="E63" s="476"/>
      <c r="F63" s="477"/>
      <c r="G63" s="469" t="s">
        <v>138</v>
      </c>
      <c r="H63" s="470"/>
      <c r="I63" s="470"/>
      <c r="J63" s="470"/>
      <c r="K63" s="470"/>
      <c r="L63" s="470"/>
      <c r="M63" s="470"/>
      <c r="N63" s="471"/>
      <c r="O63" s="212"/>
      <c r="P63" s="198"/>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C63" s="21"/>
      <c r="BD63" s="21"/>
      <c r="BE63" s="21"/>
      <c r="BF63" s="21"/>
      <c r="BG63" s="21"/>
      <c r="BH63" s="21"/>
      <c r="BI63" s="21"/>
      <c r="BJ63" s="21"/>
      <c r="BK63" s="21"/>
      <c r="BL63" s="21"/>
      <c r="BM63" s="21"/>
      <c r="BN63" s="21"/>
      <c r="BO63" s="21"/>
      <c r="BP63" s="21"/>
      <c r="BQ63" s="21"/>
      <c r="BR63" s="21"/>
      <c r="BS63" s="21"/>
      <c r="BT63" s="21"/>
      <c r="BU63" s="21"/>
      <c r="BV63" s="21"/>
      <c r="BW63" s="21"/>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c r="DA63" s="21"/>
      <c r="DB63" s="21"/>
      <c r="DC63" s="21"/>
      <c r="DD63" s="21"/>
      <c r="DE63" s="21"/>
      <c r="DF63" s="21"/>
      <c r="DG63" s="21"/>
      <c r="DH63" s="21"/>
      <c r="DI63" s="21"/>
      <c r="DJ63" s="21"/>
      <c r="DK63" s="21"/>
      <c r="DL63" s="21"/>
      <c r="DM63" s="21"/>
      <c r="DN63" s="21"/>
      <c r="DO63" s="21"/>
      <c r="DP63" s="21"/>
      <c r="DQ63" s="21"/>
      <c r="DR63" s="21"/>
      <c r="DS63" s="21"/>
      <c r="DT63" s="21"/>
      <c r="DU63" s="21"/>
    </row>
    <row r="64" spans="1:125" ht="13.5" thickBot="1" x14ac:dyDescent="0.25">
      <c r="A64" s="478"/>
      <c r="B64" s="479"/>
      <c r="C64" s="480"/>
      <c r="D64" s="478"/>
      <c r="E64" s="479"/>
      <c r="F64" s="480"/>
      <c r="G64" s="472"/>
      <c r="H64" s="473"/>
      <c r="I64" s="473"/>
      <c r="J64" s="473"/>
      <c r="K64" s="473"/>
      <c r="L64" s="473"/>
      <c r="M64" s="473"/>
      <c r="N64" s="474"/>
      <c r="O64" s="198"/>
      <c r="P64" s="198"/>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C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c r="DA64" s="21"/>
      <c r="DB64" s="21"/>
      <c r="DC64" s="21"/>
      <c r="DD64" s="21"/>
      <c r="DE64" s="21"/>
      <c r="DF64" s="21"/>
      <c r="DG64" s="21"/>
      <c r="DH64" s="21"/>
      <c r="DI64" s="21"/>
      <c r="DJ64" s="21"/>
      <c r="DK64" s="21"/>
      <c r="DL64" s="21"/>
      <c r="DM64" s="21"/>
      <c r="DN64" s="21"/>
      <c r="DO64" s="21"/>
      <c r="DP64" s="21"/>
      <c r="DQ64" s="21"/>
      <c r="DR64" s="21"/>
      <c r="DS64" s="21"/>
      <c r="DT64" s="21"/>
      <c r="DU64" s="21"/>
    </row>
    <row r="65" spans="1:125" x14ac:dyDescent="0.2">
      <c r="A65" s="451"/>
      <c r="B65" s="452"/>
      <c r="C65" s="453"/>
      <c r="D65" s="451"/>
      <c r="E65" s="452"/>
      <c r="F65" s="453"/>
      <c r="G65" s="451"/>
      <c r="H65" s="452"/>
      <c r="I65" s="452"/>
      <c r="J65" s="452"/>
      <c r="K65" s="452"/>
      <c r="L65" s="452"/>
      <c r="M65" s="452"/>
      <c r="N65" s="453"/>
      <c r="O65" s="198"/>
      <c r="P65" s="198"/>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C65" s="21"/>
      <c r="BD65" s="21"/>
      <c r="BE65" s="21"/>
      <c r="BF65" s="21"/>
      <c r="BG65" s="21"/>
      <c r="BH65" s="21"/>
      <c r="BI65" s="21"/>
      <c r="BJ65" s="21"/>
      <c r="BK65" s="21"/>
      <c r="BL65" s="21"/>
      <c r="BM65" s="21"/>
      <c r="BN65" s="21"/>
      <c r="BO65" s="21"/>
      <c r="BP65" s="21"/>
      <c r="BQ65" s="21"/>
      <c r="BR65" s="21"/>
      <c r="BS65" s="21"/>
      <c r="BT65" s="21"/>
      <c r="BU65" s="21"/>
      <c r="BV65" s="21"/>
      <c r="BW65" s="21"/>
      <c r="BX65" s="21"/>
      <c r="BY65" s="21"/>
      <c r="BZ65" s="21"/>
      <c r="CA65" s="21"/>
      <c r="CB65" s="21"/>
      <c r="CC65" s="21"/>
      <c r="CD65" s="21"/>
      <c r="CE65" s="21"/>
      <c r="CF65" s="21"/>
      <c r="CG65" s="21"/>
      <c r="CH65" s="21"/>
      <c r="CI65" s="21"/>
      <c r="CJ65" s="21"/>
      <c r="CK65" s="21"/>
      <c r="CL65" s="21"/>
      <c r="CM65" s="21"/>
      <c r="CN65" s="21"/>
      <c r="CO65" s="21"/>
      <c r="CP65" s="21"/>
      <c r="CQ65" s="21"/>
      <c r="CR65" s="21"/>
      <c r="CS65" s="21"/>
      <c r="CT65" s="21"/>
      <c r="CU65" s="21"/>
      <c r="CV65" s="21"/>
      <c r="CW65" s="21"/>
      <c r="CX65" s="21"/>
      <c r="CY65" s="21"/>
      <c r="CZ65" s="21"/>
      <c r="DA65" s="21"/>
      <c r="DB65" s="21"/>
      <c r="DC65" s="21"/>
      <c r="DD65" s="21"/>
      <c r="DE65" s="21"/>
      <c r="DF65" s="21"/>
      <c r="DG65" s="21"/>
      <c r="DH65" s="21"/>
      <c r="DI65" s="21"/>
      <c r="DJ65" s="21"/>
      <c r="DK65" s="21"/>
      <c r="DL65" s="21"/>
      <c r="DM65" s="21"/>
      <c r="DN65" s="21"/>
      <c r="DO65" s="21"/>
      <c r="DP65" s="21"/>
      <c r="DQ65" s="21"/>
      <c r="DR65" s="21"/>
      <c r="DS65" s="21"/>
      <c r="DT65" s="21"/>
      <c r="DU65" s="21"/>
    </row>
    <row r="66" spans="1:125" x14ac:dyDescent="0.2">
      <c r="A66" s="454"/>
      <c r="B66" s="455"/>
      <c r="C66" s="456"/>
      <c r="D66" s="454"/>
      <c r="E66" s="455"/>
      <c r="F66" s="456"/>
      <c r="G66" s="454"/>
      <c r="H66" s="455"/>
      <c r="I66" s="455"/>
      <c r="J66" s="455"/>
      <c r="K66" s="455"/>
      <c r="L66" s="455"/>
      <c r="M66" s="455"/>
      <c r="N66" s="456"/>
      <c r="O66" s="198"/>
      <c r="P66" s="198"/>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C66" s="21"/>
      <c r="BD66" s="21"/>
      <c r="BE66" s="21"/>
      <c r="BF66" s="21"/>
      <c r="BG66" s="21"/>
      <c r="BH66" s="21"/>
      <c r="BI66" s="21"/>
      <c r="BJ66" s="21"/>
      <c r="BK66" s="21"/>
      <c r="BL66" s="21"/>
      <c r="BM66" s="21"/>
      <c r="BN66" s="21"/>
      <c r="BO66" s="21"/>
      <c r="BP66" s="21"/>
      <c r="BQ66" s="21"/>
      <c r="BR66" s="21"/>
      <c r="BS66" s="21"/>
      <c r="BT66" s="21"/>
      <c r="BU66" s="21"/>
      <c r="BV66" s="21"/>
      <c r="BW66" s="21"/>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c r="DA66" s="21"/>
      <c r="DB66" s="21"/>
      <c r="DC66" s="21"/>
      <c r="DD66" s="21"/>
      <c r="DE66" s="21"/>
      <c r="DF66" s="21"/>
      <c r="DG66" s="21"/>
      <c r="DH66" s="21"/>
      <c r="DI66" s="21"/>
      <c r="DJ66" s="21"/>
      <c r="DK66" s="21"/>
      <c r="DL66" s="21"/>
      <c r="DM66" s="21"/>
      <c r="DN66" s="21"/>
      <c r="DO66" s="21"/>
      <c r="DP66" s="21"/>
      <c r="DQ66" s="21"/>
      <c r="DR66" s="21"/>
      <c r="DS66" s="21"/>
      <c r="DT66" s="21"/>
      <c r="DU66" s="21"/>
    </row>
    <row r="67" spans="1:125" ht="2.4500000000000002" customHeight="1" x14ac:dyDescent="0.2">
      <c r="A67" s="454"/>
      <c r="B67" s="455"/>
      <c r="C67" s="456"/>
      <c r="D67" s="454"/>
      <c r="E67" s="455"/>
      <c r="F67" s="456"/>
      <c r="G67" s="454"/>
      <c r="H67" s="455"/>
      <c r="I67" s="455"/>
      <c r="J67" s="455"/>
      <c r="K67" s="455"/>
      <c r="L67" s="455"/>
      <c r="M67" s="455"/>
      <c r="N67" s="456"/>
      <c r="O67" s="198"/>
      <c r="P67" s="198"/>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c r="DA67" s="21"/>
      <c r="DB67" s="21"/>
      <c r="DC67" s="21"/>
      <c r="DD67" s="21"/>
      <c r="DE67" s="21"/>
      <c r="DF67" s="21"/>
      <c r="DG67" s="21"/>
      <c r="DH67" s="21"/>
      <c r="DI67" s="21"/>
      <c r="DJ67" s="21"/>
      <c r="DK67" s="21"/>
      <c r="DL67" s="21"/>
      <c r="DM67" s="21"/>
      <c r="DN67" s="21"/>
      <c r="DO67" s="21"/>
      <c r="DP67" s="21"/>
      <c r="DQ67" s="21"/>
      <c r="DR67" s="21"/>
      <c r="DS67" s="21"/>
      <c r="DT67" s="21"/>
      <c r="DU67" s="21"/>
    </row>
    <row r="68" spans="1:125" x14ac:dyDescent="0.2">
      <c r="A68" s="454"/>
      <c r="B68" s="455"/>
      <c r="C68" s="456"/>
      <c r="D68" s="454"/>
      <c r="E68" s="455"/>
      <c r="F68" s="456"/>
      <c r="G68" s="454"/>
      <c r="H68" s="455"/>
      <c r="I68" s="455"/>
      <c r="J68" s="455"/>
      <c r="K68" s="455"/>
      <c r="L68" s="455"/>
      <c r="M68" s="455"/>
      <c r="N68" s="456"/>
      <c r="O68" s="198"/>
      <c r="P68" s="198"/>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C68" s="21"/>
      <c r="BD68" s="21"/>
      <c r="BE68" s="21"/>
      <c r="BF68" s="21"/>
      <c r="BG68" s="21"/>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c r="DA68" s="21"/>
      <c r="DB68" s="21"/>
      <c r="DC68" s="21"/>
      <c r="DD68" s="21"/>
      <c r="DE68" s="21"/>
      <c r="DF68" s="21"/>
      <c r="DG68" s="21"/>
      <c r="DH68" s="21"/>
      <c r="DI68" s="21"/>
      <c r="DJ68" s="21"/>
      <c r="DK68" s="21"/>
      <c r="DL68" s="21"/>
      <c r="DM68" s="21"/>
      <c r="DN68" s="21"/>
      <c r="DO68" s="21"/>
      <c r="DP68" s="21"/>
      <c r="DQ68" s="21"/>
      <c r="DR68" s="21"/>
      <c r="DS68" s="21"/>
      <c r="DT68" s="21"/>
      <c r="DU68" s="21"/>
    </row>
    <row r="69" spans="1:125" ht="13.5" thickBot="1" x14ac:dyDescent="0.25">
      <c r="A69" s="457"/>
      <c r="B69" s="458"/>
      <c r="C69" s="459"/>
      <c r="D69" s="457"/>
      <c r="E69" s="458"/>
      <c r="F69" s="459"/>
      <c r="G69" s="457"/>
      <c r="H69" s="458"/>
      <c r="I69" s="458"/>
      <c r="J69" s="458"/>
      <c r="K69" s="458"/>
      <c r="L69" s="458"/>
      <c r="M69" s="458"/>
      <c r="N69" s="459"/>
      <c r="O69" s="198"/>
      <c r="P69" s="198"/>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C69" s="21"/>
      <c r="BD69" s="21"/>
      <c r="BE69" s="21"/>
      <c r="BF69" s="21"/>
      <c r="BG69" s="21"/>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c r="DA69" s="21"/>
      <c r="DB69" s="21"/>
      <c r="DC69" s="21"/>
      <c r="DD69" s="21"/>
      <c r="DE69" s="21"/>
      <c r="DF69" s="21"/>
      <c r="DG69" s="21"/>
      <c r="DH69" s="21"/>
      <c r="DI69" s="21"/>
      <c r="DJ69" s="21"/>
      <c r="DK69" s="21"/>
      <c r="DL69" s="21"/>
      <c r="DM69" s="21"/>
      <c r="DN69" s="21"/>
      <c r="DO69" s="21"/>
      <c r="DP69" s="21"/>
      <c r="DQ69" s="21"/>
      <c r="DR69" s="21"/>
      <c r="DS69" s="21"/>
      <c r="DT69" s="21"/>
      <c r="DU69" s="21"/>
    </row>
    <row r="70" spans="1:125" ht="15" x14ac:dyDescent="0.25">
      <c r="A70" s="21"/>
      <c r="B70" s="21"/>
      <c r="C70" s="21"/>
      <c r="D70" s="21"/>
      <c r="E70" s="21"/>
      <c r="F70" s="21"/>
      <c r="G70" s="198"/>
      <c r="H70" s="198"/>
      <c r="I70" s="198"/>
      <c r="J70" s="198"/>
      <c r="K70" s="198"/>
      <c r="L70" s="213" t="s">
        <v>155</v>
      </c>
      <c r="M70" s="523">
        <f ca="1">NOW()</f>
        <v>45809.461419907406</v>
      </c>
      <c r="N70" s="524"/>
      <c r="O70" s="198"/>
      <c r="P70" s="198"/>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c r="DA70" s="21"/>
      <c r="DB70" s="21"/>
      <c r="DC70" s="21"/>
      <c r="DD70" s="21"/>
      <c r="DE70" s="21"/>
      <c r="DF70" s="21"/>
      <c r="DG70" s="21"/>
      <c r="DH70" s="21"/>
      <c r="DI70" s="21"/>
      <c r="DJ70" s="21"/>
      <c r="DK70" s="21"/>
      <c r="DL70" s="21"/>
      <c r="DM70" s="21"/>
      <c r="DN70" s="21"/>
      <c r="DO70" s="21"/>
      <c r="DP70" s="21"/>
      <c r="DQ70" s="21"/>
      <c r="DR70" s="21"/>
      <c r="DS70" s="21"/>
      <c r="DT70" s="21"/>
      <c r="DU70" s="21"/>
    </row>
    <row r="71" spans="1:125" x14ac:dyDescent="0.2">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C71" s="21"/>
      <c r="BD71" s="21"/>
      <c r="BE71" s="21"/>
      <c r="BF71" s="21"/>
      <c r="BG71" s="21"/>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c r="DA71" s="21"/>
      <c r="DB71" s="21"/>
      <c r="DC71" s="21"/>
      <c r="DD71" s="21"/>
      <c r="DE71" s="21"/>
      <c r="DF71" s="21"/>
      <c r="DG71" s="21"/>
      <c r="DH71" s="21"/>
      <c r="DI71" s="21"/>
      <c r="DJ71" s="21"/>
      <c r="DK71" s="21"/>
      <c r="DL71" s="21"/>
      <c r="DM71" s="21"/>
      <c r="DN71" s="21"/>
      <c r="DO71" s="21"/>
      <c r="DP71" s="21"/>
      <c r="DQ71" s="21"/>
      <c r="DR71" s="21"/>
      <c r="DS71" s="21"/>
      <c r="DT71" s="21"/>
      <c r="DU71" s="21"/>
    </row>
    <row r="72" spans="1:125" x14ac:dyDescent="0.2">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c r="DA72" s="21"/>
      <c r="DB72" s="21"/>
      <c r="DC72" s="21"/>
      <c r="DD72" s="21"/>
      <c r="DE72" s="21"/>
      <c r="DF72" s="21"/>
      <c r="DG72" s="21"/>
      <c r="DH72" s="21"/>
      <c r="DI72" s="21"/>
      <c r="DJ72" s="21"/>
      <c r="DK72" s="21"/>
      <c r="DL72" s="21"/>
      <c r="DM72" s="21"/>
      <c r="DN72" s="21"/>
      <c r="DO72" s="21"/>
      <c r="DP72" s="21"/>
      <c r="DQ72" s="21"/>
      <c r="DR72" s="21"/>
      <c r="DS72" s="21"/>
      <c r="DT72" s="21"/>
      <c r="DU72" s="21"/>
    </row>
    <row r="73" spans="1:125" x14ac:dyDescent="0.2">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c r="DA73" s="21"/>
      <c r="DB73" s="21"/>
      <c r="DC73" s="21"/>
      <c r="DD73" s="21"/>
      <c r="DE73" s="21"/>
      <c r="DF73" s="21"/>
      <c r="DG73" s="21"/>
      <c r="DH73" s="21"/>
      <c r="DI73" s="21"/>
      <c r="DJ73" s="21"/>
      <c r="DK73" s="21"/>
      <c r="DL73" s="21"/>
      <c r="DM73" s="21"/>
      <c r="DN73" s="21"/>
      <c r="DO73" s="21"/>
      <c r="DP73" s="21"/>
      <c r="DQ73" s="21"/>
      <c r="DR73" s="21"/>
      <c r="DS73" s="21"/>
      <c r="DT73" s="21"/>
      <c r="DU73" s="21"/>
    </row>
    <row r="74" spans="1:125" x14ac:dyDescent="0.2">
      <c r="A74" s="21"/>
      <c r="B74" s="21"/>
      <c r="C74" s="21"/>
      <c r="D74" s="21"/>
      <c r="E74" s="21"/>
      <c r="F74" s="21"/>
      <c r="G74" s="21"/>
      <c r="H74" s="21"/>
      <c r="I74" s="21"/>
      <c r="J74" s="21"/>
      <c r="K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C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c r="DA74" s="21"/>
      <c r="DB74" s="21"/>
      <c r="DC74" s="21"/>
      <c r="DD74" s="21"/>
      <c r="DE74" s="21"/>
      <c r="DF74" s="21"/>
      <c r="DG74" s="21"/>
      <c r="DH74" s="21"/>
      <c r="DI74" s="21"/>
      <c r="DJ74" s="21"/>
      <c r="DK74" s="21"/>
      <c r="DL74" s="21"/>
      <c r="DM74" s="21"/>
      <c r="DN74" s="21"/>
      <c r="DO74" s="21"/>
      <c r="DP74" s="21"/>
      <c r="DQ74" s="21"/>
      <c r="DR74" s="21"/>
      <c r="DS74" s="21"/>
      <c r="DT74" s="21"/>
      <c r="DU74" s="21"/>
    </row>
    <row r="75" spans="1:125" x14ac:dyDescent="0.2">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C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c r="DA75" s="21"/>
      <c r="DB75" s="21"/>
      <c r="DC75" s="21"/>
      <c r="DD75" s="21"/>
      <c r="DE75" s="21"/>
      <c r="DF75" s="21"/>
      <c r="DG75" s="21"/>
      <c r="DH75" s="21"/>
      <c r="DI75" s="21"/>
      <c r="DJ75" s="21"/>
      <c r="DK75" s="21"/>
      <c r="DL75" s="21"/>
      <c r="DM75" s="21"/>
      <c r="DN75" s="21"/>
      <c r="DO75" s="21"/>
      <c r="DP75" s="21"/>
      <c r="DQ75" s="21"/>
      <c r="DR75" s="21"/>
      <c r="DS75" s="21"/>
      <c r="DT75" s="21"/>
      <c r="DU75" s="21"/>
    </row>
    <row r="76" spans="1:125" x14ac:dyDescent="0.2">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C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c r="DA76" s="21"/>
      <c r="DB76" s="21"/>
      <c r="DC76" s="21"/>
      <c r="DD76" s="21"/>
      <c r="DE76" s="21"/>
      <c r="DF76" s="21"/>
      <c r="DG76" s="21"/>
      <c r="DH76" s="21"/>
      <c r="DI76" s="21"/>
      <c r="DJ76" s="21"/>
      <c r="DK76" s="21"/>
      <c r="DL76" s="21"/>
      <c r="DM76" s="21"/>
      <c r="DN76" s="21"/>
      <c r="DO76" s="21"/>
      <c r="DP76" s="21"/>
      <c r="DQ76" s="21"/>
      <c r="DR76" s="21"/>
      <c r="DS76" s="21"/>
      <c r="DT76" s="21"/>
      <c r="DU76" s="21"/>
    </row>
    <row r="77" spans="1:125" x14ac:dyDescent="0.2">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C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21"/>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c r="DA77" s="21"/>
      <c r="DB77" s="21"/>
      <c r="DC77" s="21"/>
      <c r="DD77" s="21"/>
      <c r="DE77" s="21"/>
      <c r="DF77" s="21"/>
      <c r="DG77" s="21"/>
      <c r="DH77" s="21"/>
      <c r="DI77" s="21"/>
      <c r="DJ77" s="21"/>
      <c r="DK77" s="21"/>
      <c r="DL77" s="21"/>
      <c r="DM77" s="21"/>
      <c r="DN77" s="21"/>
      <c r="DO77" s="21"/>
      <c r="DP77" s="21"/>
      <c r="DQ77" s="21"/>
      <c r="DR77" s="21"/>
      <c r="DS77" s="21"/>
      <c r="DT77" s="21"/>
      <c r="DU77" s="21"/>
    </row>
    <row r="78" spans="1:125" x14ac:dyDescent="0.2">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c r="DA78" s="21"/>
      <c r="DB78" s="21"/>
      <c r="DC78" s="21"/>
      <c r="DD78" s="21"/>
      <c r="DE78" s="21"/>
      <c r="DF78" s="21"/>
      <c r="DG78" s="21"/>
      <c r="DH78" s="21"/>
      <c r="DI78" s="21"/>
      <c r="DJ78" s="21"/>
      <c r="DK78" s="21"/>
      <c r="DL78" s="21"/>
      <c r="DM78" s="21"/>
      <c r="DN78" s="21"/>
      <c r="DO78" s="21"/>
      <c r="DP78" s="21"/>
      <c r="DQ78" s="21"/>
      <c r="DR78" s="21"/>
      <c r="DS78" s="21"/>
      <c r="DT78" s="21"/>
      <c r="DU78" s="21"/>
    </row>
    <row r="79" spans="1:125" x14ac:dyDescent="0.2">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C79" s="21"/>
      <c r="BD79" s="21"/>
      <c r="BE79" s="21"/>
      <c r="BF79" s="21"/>
      <c r="BG79" s="21"/>
      <c r="BH79" s="21"/>
      <c r="BI79" s="21"/>
      <c r="BJ79" s="21"/>
      <c r="BK79" s="21"/>
      <c r="BL79" s="21"/>
      <c r="BM79" s="21"/>
      <c r="BN79" s="21"/>
      <c r="BO79" s="21"/>
      <c r="BP79" s="21"/>
      <c r="BQ79" s="21"/>
      <c r="BR79" s="21"/>
      <c r="BS79" s="21"/>
      <c r="BT79" s="21"/>
      <c r="BU79" s="21"/>
      <c r="BV79" s="21"/>
      <c r="BW79" s="21"/>
      <c r="BX79" s="21"/>
      <c r="BY79" s="21"/>
      <c r="BZ79" s="21"/>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c r="DA79" s="21"/>
      <c r="DB79" s="21"/>
      <c r="DC79" s="21"/>
      <c r="DD79" s="21"/>
      <c r="DE79" s="21"/>
      <c r="DF79" s="21"/>
      <c r="DG79" s="21"/>
      <c r="DH79" s="21"/>
      <c r="DI79" s="21"/>
      <c r="DJ79" s="21"/>
      <c r="DK79" s="21"/>
      <c r="DL79" s="21"/>
      <c r="DM79" s="21"/>
      <c r="DN79" s="21"/>
      <c r="DO79" s="21"/>
      <c r="DP79" s="21"/>
      <c r="DQ79" s="21"/>
      <c r="DR79" s="21"/>
      <c r="DS79" s="21"/>
      <c r="DT79" s="21"/>
      <c r="DU79" s="21"/>
    </row>
    <row r="80" spans="1:125" x14ac:dyDescent="0.2">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c r="DA80" s="21"/>
      <c r="DB80" s="21"/>
      <c r="DC80" s="21"/>
      <c r="DD80" s="21"/>
      <c r="DE80" s="21"/>
      <c r="DF80" s="21"/>
      <c r="DG80" s="21"/>
      <c r="DH80" s="21"/>
      <c r="DI80" s="21"/>
      <c r="DJ80" s="21"/>
      <c r="DK80" s="21"/>
      <c r="DL80" s="21"/>
      <c r="DM80" s="21"/>
      <c r="DN80" s="21"/>
      <c r="DO80" s="21"/>
      <c r="DP80" s="21"/>
      <c r="DQ80" s="21"/>
      <c r="DR80" s="21"/>
      <c r="DS80" s="21"/>
      <c r="DT80" s="21"/>
      <c r="DU80" s="21"/>
    </row>
    <row r="81" spans="1:125" x14ac:dyDescent="0.2">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C81" s="21"/>
      <c r="BD81" s="21"/>
      <c r="BE81" s="21"/>
      <c r="BF81" s="21"/>
      <c r="BG81" s="21"/>
      <c r="BH81" s="21"/>
      <c r="BI81" s="21"/>
      <c r="BJ81" s="21"/>
      <c r="BK81" s="21"/>
      <c r="BL81" s="21"/>
      <c r="BM81" s="21"/>
      <c r="BN81" s="21"/>
      <c r="BO81" s="21"/>
      <c r="BP81" s="21"/>
      <c r="BQ81" s="21"/>
      <c r="BR81" s="21"/>
      <c r="BS81" s="21"/>
      <c r="BT81" s="21"/>
      <c r="BU81" s="21"/>
      <c r="BV81" s="21"/>
      <c r="BW81" s="21"/>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c r="DA81" s="21"/>
      <c r="DB81" s="21"/>
      <c r="DC81" s="21"/>
      <c r="DD81" s="21"/>
      <c r="DE81" s="21"/>
      <c r="DF81" s="21"/>
      <c r="DG81" s="21"/>
      <c r="DH81" s="21"/>
      <c r="DI81" s="21"/>
      <c r="DJ81" s="21"/>
      <c r="DK81" s="21"/>
      <c r="DL81" s="21"/>
      <c r="DM81" s="21"/>
      <c r="DN81" s="21"/>
      <c r="DO81" s="21"/>
      <c r="DP81" s="21"/>
      <c r="DQ81" s="21"/>
      <c r="DR81" s="21"/>
      <c r="DS81" s="21"/>
      <c r="DT81" s="21"/>
      <c r="DU81" s="21"/>
    </row>
    <row r="82" spans="1:125" x14ac:dyDescent="0.2">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C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c r="DA82" s="21"/>
      <c r="DB82" s="21"/>
      <c r="DC82" s="21"/>
      <c r="DD82" s="21"/>
      <c r="DE82" s="21"/>
      <c r="DF82" s="21"/>
      <c r="DG82" s="21"/>
      <c r="DH82" s="21"/>
      <c r="DI82" s="21"/>
      <c r="DJ82" s="21"/>
      <c r="DK82" s="21"/>
      <c r="DL82" s="21"/>
      <c r="DM82" s="21"/>
      <c r="DN82" s="21"/>
      <c r="DO82" s="21"/>
      <c r="DP82" s="21"/>
      <c r="DQ82" s="21"/>
      <c r="DR82" s="21"/>
      <c r="DS82" s="21"/>
      <c r="DT82" s="21"/>
      <c r="DU82" s="21"/>
    </row>
    <row r="83" spans="1:125" x14ac:dyDescent="0.2">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C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c r="DA83" s="21"/>
      <c r="DB83" s="21"/>
      <c r="DC83" s="21"/>
      <c r="DD83" s="21"/>
      <c r="DE83" s="21"/>
      <c r="DF83" s="21"/>
      <c r="DG83" s="21"/>
      <c r="DH83" s="21"/>
      <c r="DI83" s="21"/>
      <c r="DJ83" s="21"/>
      <c r="DK83" s="21"/>
      <c r="DL83" s="21"/>
      <c r="DM83" s="21"/>
      <c r="DN83" s="21"/>
      <c r="DO83" s="21"/>
      <c r="DP83" s="21"/>
      <c r="DQ83" s="21"/>
      <c r="DR83" s="21"/>
      <c r="DS83" s="21"/>
      <c r="DT83" s="21"/>
      <c r="DU83" s="21"/>
    </row>
    <row r="84" spans="1:125" x14ac:dyDescent="0.2">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c r="DA84" s="21"/>
      <c r="DB84" s="21"/>
      <c r="DC84" s="21"/>
      <c r="DD84" s="21"/>
      <c r="DE84" s="21"/>
      <c r="DF84" s="21"/>
      <c r="DG84" s="21"/>
      <c r="DH84" s="21"/>
      <c r="DI84" s="21"/>
      <c r="DJ84" s="21"/>
      <c r="DK84" s="21"/>
      <c r="DL84" s="21"/>
      <c r="DM84" s="21"/>
      <c r="DN84" s="21"/>
      <c r="DO84" s="21"/>
      <c r="DP84" s="21"/>
      <c r="DQ84" s="21"/>
      <c r="DR84" s="21"/>
      <c r="DS84" s="21"/>
      <c r="DT84" s="21"/>
      <c r="DU84" s="21"/>
    </row>
    <row r="85" spans="1:125" x14ac:dyDescent="0.2">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1"/>
      <c r="BB85" s="21"/>
      <c r="BC85" s="21"/>
      <c r="BD85" s="21"/>
      <c r="BE85" s="21"/>
      <c r="BF85" s="21"/>
      <c r="BG85" s="21"/>
      <c r="BH85" s="21"/>
      <c r="BI85" s="21"/>
      <c r="BJ85" s="21"/>
      <c r="BK85" s="21"/>
      <c r="BL85" s="21"/>
      <c r="BM85" s="21"/>
      <c r="BN85" s="21"/>
      <c r="BO85" s="21"/>
      <c r="BP85" s="21"/>
      <c r="BQ85" s="21"/>
      <c r="BR85" s="21"/>
      <c r="BS85" s="21"/>
      <c r="BT85" s="21"/>
      <c r="BU85" s="21"/>
      <c r="BV85" s="21"/>
      <c r="BW85" s="21"/>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c r="DA85" s="21"/>
      <c r="DB85" s="21"/>
      <c r="DC85" s="21"/>
      <c r="DD85" s="21"/>
      <c r="DE85" s="21"/>
      <c r="DF85" s="21"/>
      <c r="DG85" s="21"/>
      <c r="DH85" s="21"/>
      <c r="DI85" s="21"/>
      <c r="DJ85" s="21"/>
      <c r="DK85" s="21"/>
      <c r="DL85" s="21"/>
      <c r="DM85" s="21"/>
      <c r="DN85" s="21"/>
      <c r="DO85" s="21"/>
      <c r="DP85" s="21"/>
      <c r="DQ85" s="21"/>
      <c r="DR85" s="21"/>
      <c r="DS85" s="21"/>
      <c r="DT85" s="21"/>
      <c r="DU85" s="21"/>
    </row>
    <row r="86" spans="1:125" x14ac:dyDescent="0.2">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c r="DA86" s="21"/>
      <c r="DB86" s="21"/>
      <c r="DC86" s="21"/>
      <c r="DD86" s="21"/>
      <c r="DE86" s="21"/>
      <c r="DF86" s="21"/>
      <c r="DG86" s="21"/>
      <c r="DH86" s="21"/>
      <c r="DI86" s="21"/>
      <c r="DJ86" s="21"/>
      <c r="DK86" s="21"/>
      <c r="DL86" s="21"/>
      <c r="DM86" s="21"/>
      <c r="DN86" s="21"/>
      <c r="DO86" s="21"/>
      <c r="DP86" s="21"/>
      <c r="DQ86" s="21"/>
      <c r="DR86" s="21"/>
      <c r="DS86" s="21"/>
      <c r="DT86" s="21"/>
      <c r="DU86" s="21"/>
    </row>
    <row r="87" spans="1:125" x14ac:dyDescent="0.2">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1"/>
      <c r="BB87" s="21"/>
      <c r="BC87" s="21"/>
      <c r="BD87" s="21"/>
      <c r="BE87" s="21"/>
      <c r="BF87" s="21"/>
      <c r="BG87" s="21"/>
      <c r="BH87" s="21"/>
      <c r="BI87" s="21"/>
      <c r="BJ87" s="21"/>
      <c r="BK87" s="21"/>
      <c r="BL87" s="21"/>
      <c r="BM87" s="21"/>
      <c r="BN87" s="21"/>
      <c r="BO87" s="21"/>
      <c r="BP87" s="21"/>
      <c r="BQ87" s="21"/>
      <c r="BR87" s="21"/>
      <c r="BS87" s="21"/>
      <c r="BT87" s="21"/>
      <c r="BU87" s="21"/>
      <c r="BV87" s="21"/>
      <c r="BW87" s="21"/>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c r="DA87" s="21"/>
      <c r="DB87" s="21"/>
      <c r="DC87" s="21"/>
      <c r="DD87" s="21"/>
      <c r="DE87" s="21"/>
      <c r="DF87" s="21"/>
      <c r="DG87" s="21"/>
      <c r="DH87" s="21"/>
      <c r="DI87" s="21"/>
      <c r="DJ87" s="21"/>
      <c r="DK87" s="21"/>
      <c r="DL87" s="21"/>
      <c r="DM87" s="21"/>
      <c r="DN87" s="21"/>
      <c r="DO87" s="21"/>
      <c r="DP87" s="21"/>
      <c r="DQ87" s="21"/>
      <c r="DR87" s="21"/>
      <c r="DS87" s="21"/>
      <c r="DT87" s="21"/>
      <c r="DU87" s="21"/>
    </row>
    <row r="88" spans="1:125" x14ac:dyDescent="0.2">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c r="DA88" s="21"/>
      <c r="DB88" s="21"/>
      <c r="DC88" s="21"/>
      <c r="DD88" s="21"/>
      <c r="DE88" s="21"/>
      <c r="DF88" s="21"/>
      <c r="DG88" s="21"/>
      <c r="DH88" s="21"/>
      <c r="DI88" s="21"/>
      <c r="DJ88" s="21"/>
      <c r="DK88" s="21"/>
      <c r="DL88" s="21"/>
      <c r="DM88" s="21"/>
      <c r="DN88" s="21"/>
      <c r="DO88" s="21"/>
      <c r="DP88" s="21"/>
      <c r="DQ88" s="21"/>
      <c r="DR88" s="21"/>
      <c r="DS88" s="21"/>
      <c r="DT88" s="21"/>
      <c r="DU88" s="21"/>
    </row>
    <row r="89" spans="1:125" x14ac:dyDescent="0.2">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C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c r="DA89" s="21"/>
      <c r="DB89" s="21"/>
      <c r="DC89" s="21"/>
      <c r="DD89" s="21"/>
      <c r="DE89" s="21"/>
      <c r="DF89" s="21"/>
      <c r="DG89" s="21"/>
      <c r="DH89" s="21"/>
      <c r="DI89" s="21"/>
      <c r="DJ89" s="21"/>
      <c r="DK89" s="21"/>
      <c r="DL89" s="21"/>
      <c r="DM89" s="21"/>
      <c r="DN89" s="21"/>
      <c r="DO89" s="21"/>
      <c r="DP89" s="21"/>
      <c r="DQ89" s="21"/>
      <c r="DR89" s="21"/>
      <c r="DS89" s="21"/>
      <c r="DT89" s="21"/>
      <c r="DU89" s="21"/>
    </row>
    <row r="90" spans="1:125" x14ac:dyDescent="0.2">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1"/>
      <c r="BB90" s="21"/>
      <c r="BC90" s="21"/>
      <c r="BD90" s="21"/>
      <c r="BE90" s="21"/>
      <c r="BF90" s="21"/>
      <c r="BG90" s="21"/>
      <c r="BH90" s="21"/>
      <c r="BI90" s="21"/>
      <c r="BJ90" s="21"/>
      <c r="BK90" s="21"/>
      <c r="BL90" s="21"/>
      <c r="BM90" s="21"/>
      <c r="BN90" s="21"/>
      <c r="BO90" s="21"/>
      <c r="BP90" s="21"/>
      <c r="BQ90" s="21"/>
      <c r="BR90" s="21"/>
      <c r="BS90" s="21"/>
      <c r="BT90" s="21"/>
      <c r="BU90" s="21"/>
      <c r="BV90" s="21"/>
      <c r="BW90" s="21"/>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c r="DA90" s="21"/>
      <c r="DB90" s="21"/>
      <c r="DC90" s="21"/>
      <c r="DD90" s="21"/>
      <c r="DE90" s="21"/>
      <c r="DF90" s="21"/>
      <c r="DG90" s="21"/>
      <c r="DH90" s="21"/>
      <c r="DI90" s="21"/>
      <c r="DJ90" s="21"/>
      <c r="DK90" s="21"/>
      <c r="DL90" s="21"/>
      <c r="DM90" s="21"/>
      <c r="DN90" s="21"/>
      <c r="DO90" s="21"/>
      <c r="DP90" s="21"/>
      <c r="DQ90" s="21"/>
      <c r="DR90" s="21"/>
      <c r="DS90" s="21"/>
      <c r="DT90" s="21"/>
      <c r="DU90" s="21"/>
    </row>
    <row r="91" spans="1:125" x14ac:dyDescent="0.2">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1"/>
      <c r="BB91" s="21"/>
      <c r="BC91" s="21"/>
      <c r="BD91" s="21"/>
      <c r="BE91" s="21"/>
      <c r="BF91" s="21"/>
      <c r="BG91" s="21"/>
      <c r="BH91" s="21"/>
      <c r="BI91" s="21"/>
      <c r="BJ91" s="21"/>
      <c r="BK91" s="21"/>
      <c r="BL91" s="21"/>
      <c r="BM91" s="21"/>
      <c r="BN91" s="21"/>
      <c r="BO91" s="21"/>
      <c r="BP91" s="21"/>
      <c r="BQ91" s="21"/>
      <c r="BR91" s="21"/>
      <c r="BS91" s="21"/>
      <c r="BT91" s="21"/>
      <c r="BU91" s="21"/>
      <c r="BV91" s="21"/>
      <c r="BW91" s="21"/>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c r="DA91" s="21"/>
      <c r="DB91" s="21"/>
      <c r="DC91" s="21"/>
      <c r="DD91" s="21"/>
      <c r="DE91" s="21"/>
      <c r="DF91" s="21"/>
      <c r="DG91" s="21"/>
      <c r="DH91" s="21"/>
      <c r="DI91" s="21"/>
      <c r="DJ91" s="21"/>
      <c r="DK91" s="21"/>
      <c r="DL91" s="21"/>
      <c r="DM91" s="21"/>
      <c r="DN91" s="21"/>
      <c r="DO91" s="21"/>
      <c r="DP91" s="21"/>
      <c r="DQ91" s="21"/>
      <c r="DR91" s="21"/>
      <c r="DS91" s="21"/>
      <c r="DT91" s="21"/>
      <c r="DU91" s="21"/>
    </row>
    <row r="92" spans="1:125" x14ac:dyDescent="0.2">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1"/>
      <c r="BB92" s="21"/>
      <c r="BC92" s="21"/>
      <c r="BD92" s="21"/>
      <c r="BE92" s="21"/>
      <c r="BF92" s="21"/>
      <c r="BG92" s="21"/>
      <c r="BH92" s="21"/>
      <c r="BI92" s="21"/>
      <c r="BJ92" s="21"/>
      <c r="BK92" s="21"/>
      <c r="BL92" s="21"/>
      <c r="BM92" s="21"/>
      <c r="BN92" s="21"/>
      <c r="BO92" s="21"/>
      <c r="BP92" s="21"/>
      <c r="BQ92" s="21"/>
      <c r="BR92" s="21"/>
      <c r="BS92" s="21"/>
      <c r="BT92" s="21"/>
      <c r="BU92" s="21"/>
      <c r="BV92" s="21"/>
      <c r="BW92" s="21"/>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c r="DA92" s="21"/>
      <c r="DB92" s="21"/>
      <c r="DC92" s="21"/>
      <c r="DD92" s="21"/>
      <c r="DE92" s="21"/>
      <c r="DF92" s="21"/>
      <c r="DG92" s="21"/>
      <c r="DH92" s="21"/>
      <c r="DI92" s="21"/>
      <c r="DJ92" s="21"/>
      <c r="DK92" s="21"/>
      <c r="DL92" s="21"/>
      <c r="DM92" s="21"/>
      <c r="DN92" s="21"/>
      <c r="DO92" s="21"/>
      <c r="DP92" s="21"/>
      <c r="DQ92" s="21"/>
      <c r="DR92" s="21"/>
      <c r="DS92" s="21"/>
      <c r="DT92" s="21"/>
      <c r="DU92" s="21"/>
    </row>
    <row r="93" spans="1:125" x14ac:dyDescent="0.2">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1"/>
      <c r="BB93" s="21"/>
      <c r="BC93" s="21"/>
      <c r="BD93" s="21"/>
      <c r="BE93" s="21"/>
      <c r="BF93" s="21"/>
      <c r="BG93" s="21"/>
      <c r="BH93" s="21"/>
      <c r="BI93" s="21"/>
      <c r="BJ93" s="21"/>
      <c r="BK93" s="21"/>
      <c r="BL93" s="21"/>
      <c r="BM93" s="21"/>
      <c r="BN93" s="21"/>
      <c r="BO93" s="21"/>
      <c r="BP93" s="21"/>
      <c r="BQ93" s="21"/>
      <c r="BR93" s="21"/>
      <c r="BS93" s="21"/>
      <c r="BT93" s="21"/>
      <c r="BU93" s="21"/>
      <c r="BV93" s="21"/>
      <c r="BW93" s="21"/>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c r="DA93" s="21"/>
      <c r="DB93" s="21"/>
      <c r="DC93" s="21"/>
      <c r="DD93" s="21"/>
      <c r="DE93" s="21"/>
      <c r="DF93" s="21"/>
      <c r="DG93" s="21"/>
      <c r="DH93" s="21"/>
      <c r="DI93" s="21"/>
      <c r="DJ93" s="21"/>
      <c r="DK93" s="21"/>
      <c r="DL93" s="21"/>
      <c r="DM93" s="21"/>
      <c r="DN93" s="21"/>
      <c r="DO93" s="21"/>
      <c r="DP93" s="21"/>
      <c r="DQ93" s="21"/>
      <c r="DR93" s="21"/>
      <c r="DS93" s="21"/>
      <c r="DT93" s="21"/>
      <c r="DU93" s="21"/>
    </row>
    <row r="94" spans="1:125" x14ac:dyDescent="0.2">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1"/>
      <c r="BB94" s="21"/>
      <c r="BC94" s="21"/>
      <c r="BD94" s="21"/>
      <c r="BE94" s="21"/>
      <c r="BF94" s="21"/>
      <c r="BG94" s="21"/>
      <c r="BH94" s="21"/>
      <c r="BI94" s="21"/>
      <c r="BJ94" s="21"/>
      <c r="BK94" s="21"/>
      <c r="BL94" s="21"/>
      <c r="BM94" s="21"/>
      <c r="BN94" s="21"/>
      <c r="BO94" s="21"/>
      <c r="BP94" s="21"/>
      <c r="BQ94" s="21"/>
      <c r="BR94" s="21"/>
      <c r="BS94" s="21"/>
      <c r="BT94" s="21"/>
      <c r="BU94" s="21"/>
      <c r="BV94" s="21"/>
      <c r="BW94" s="21"/>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c r="DA94" s="21"/>
      <c r="DB94" s="21"/>
      <c r="DC94" s="21"/>
      <c r="DD94" s="21"/>
      <c r="DE94" s="21"/>
      <c r="DF94" s="21"/>
      <c r="DG94" s="21"/>
      <c r="DH94" s="21"/>
      <c r="DI94" s="21"/>
      <c r="DJ94" s="21"/>
      <c r="DK94" s="21"/>
      <c r="DL94" s="21"/>
      <c r="DM94" s="21"/>
      <c r="DN94" s="21"/>
      <c r="DO94" s="21"/>
      <c r="DP94" s="21"/>
      <c r="DQ94" s="21"/>
      <c r="DR94" s="21"/>
      <c r="DS94" s="21"/>
      <c r="DT94" s="21"/>
      <c r="DU94" s="21"/>
    </row>
    <row r="95" spans="1:125" x14ac:dyDescent="0.2">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1"/>
      <c r="BB95" s="21"/>
      <c r="BC95" s="21"/>
      <c r="BD95" s="21"/>
      <c r="BE95" s="21"/>
      <c r="BF95" s="21"/>
      <c r="BG95" s="21"/>
      <c r="BH95" s="21"/>
      <c r="BI95" s="21"/>
      <c r="BJ95" s="21"/>
      <c r="BK95" s="21"/>
      <c r="BL95" s="21"/>
      <c r="BM95" s="21"/>
      <c r="BN95" s="21"/>
      <c r="BO95" s="21"/>
      <c r="BP95" s="21"/>
      <c r="BQ95" s="21"/>
      <c r="BR95" s="21"/>
      <c r="BS95" s="21"/>
      <c r="BT95" s="21"/>
      <c r="BU95" s="21"/>
      <c r="BV95" s="21"/>
      <c r="BW95" s="21"/>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c r="DA95" s="21"/>
      <c r="DB95" s="21"/>
      <c r="DC95" s="21"/>
      <c r="DD95" s="21"/>
      <c r="DE95" s="21"/>
      <c r="DF95" s="21"/>
      <c r="DG95" s="21"/>
      <c r="DH95" s="21"/>
      <c r="DI95" s="21"/>
      <c r="DJ95" s="21"/>
      <c r="DK95" s="21"/>
      <c r="DL95" s="21"/>
      <c r="DM95" s="21"/>
      <c r="DN95" s="21"/>
      <c r="DO95" s="21"/>
      <c r="DP95" s="21"/>
      <c r="DQ95" s="21"/>
      <c r="DR95" s="21"/>
      <c r="DS95" s="21"/>
      <c r="DT95" s="21"/>
      <c r="DU95" s="21"/>
    </row>
    <row r="96" spans="1:125" x14ac:dyDescent="0.2">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1"/>
      <c r="BB96" s="21"/>
      <c r="BC96" s="21"/>
      <c r="BD96" s="21"/>
      <c r="BE96" s="21"/>
      <c r="BF96" s="21"/>
      <c r="BG96" s="21"/>
      <c r="BH96" s="21"/>
      <c r="BI96" s="21"/>
      <c r="BJ96" s="21"/>
      <c r="BK96" s="21"/>
      <c r="BL96" s="21"/>
      <c r="BM96" s="21"/>
      <c r="BN96" s="21"/>
      <c r="BO96" s="21"/>
      <c r="BP96" s="21"/>
      <c r="BQ96" s="21"/>
      <c r="BR96" s="21"/>
      <c r="BS96" s="21"/>
      <c r="BT96" s="21"/>
      <c r="BU96" s="21"/>
      <c r="BV96" s="21"/>
      <c r="BW96" s="21"/>
      <c r="BX96" s="21"/>
      <c r="BY96" s="21"/>
      <c r="BZ96" s="21"/>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c r="DA96" s="21"/>
      <c r="DB96" s="21"/>
      <c r="DC96" s="21"/>
      <c r="DD96" s="21"/>
      <c r="DE96" s="21"/>
      <c r="DF96" s="21"/>
      <c r="DG96" s="21"/>
      <c r="DH96" s="21"/>
      <c r="DI96" s="21"/>
      <c r="DJ96" s="21"/>
      <c r="DK96" s="21"/>
      <c r="DL96" s="21"/>
      <c r="DM96" s="21"/>
      <c r="DN96" s="21"/>
      <c r="DO96" s="21"/>
      <c r="DP96" s="21"/>
      <c r="DQ96" s="21"/>
      <c r="DR96" s="21"/>
      <c r="DS96" s="21"/>
      <c r="DT96" s="21"/>
      <c r="DU96" s="21"/>
    </row>
    <row r="97" spans="1:125" x14ac:dyDescent="0.2">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1"/>
      <c r="BB97" s="21"/>
      <c r="BC97" s="21"/>
      <c r="BD97" s="21"/>
      <c r="BE97" s="21"/>
      <c r="BF97" s="21"/>
      <c r="BG97" s="21"/>
      <c r="BH97" s="21"/>
      <c r="BI97" s="21"/>
      <c r="BJ97" s="21"/>
      <c r="BK97" s="21"/>
      <c r="BL97" s="21"/>
      <c r="BM97" s="21"/>
      <c r="BN97" s="21"/>
      <c r="BO97" s="21"/>
      <c r="BP97" s="21"/>
      <c r="BQ97" s="21"/>
      <c r="BR97" s="21"/>
      <c r="BS97" s="21"/>
      <c r="BT97" s="21"/>
      <c r="BU97" s="21"/>
      <c r="BV97" s="21"/>
      <c r="BW97" s="21"/>
      <c r="BX97" s="21"/>
      <c r="BY97" s="21"/>
      <c r="BZ97" s="21"/>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c r="DA97" s="21"/>
      <c r="DB97" s="21"/>
      <c r="DC97" s="21"/>
      <c r="DD97" s="21"/>
      <c r="DE97" s="21"/>
      <c r="DF97" s="21"/>
      <c r="DG97" s="21"/>
      <c r="DH97" s="21"/>
      <c r="DI97" s="21"/>
      <c r="DJ97" s="21"/>
      <c r="DK97" s="21"/>
      <c r="DL97" s="21"/>
      <c r="DM97" s="21"/>
      <c r="DN97" s="21"/>
      <c r="DO97" s="21"/>
      <c r="DP97" s="21"/>
      <c r="DQ97" s="21"/>
      <c r="DR97" s="21"/>
      <c r="DS97" s="21"/>
      <c r="DT97" s="21"/>
      <c r="DU97" s="21"/>
    </row>
    <row r="98" spans="1:125" x14ac:dyDescent="0.2">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1"/>
      <c r="BB98" s="21"/>
      <c r="BC98" s="21"/>
      <c r="BD98" s="21"/>
      <c r="BE98" s="21"/>
      <c r="BF98" s="21"/>
      <c r="BG98" s="21"/>
      <c r="BH98" s="21"/>
      <c r="BI98" s="21"/>
      <c r="BJ98" s="21"/>
      <c r="BK98" s="21"/>
      <c r="BL98" s="21"/>
      <c r="BM98" s="21"/>
      <c r="BN98" s="21"/>
      <c r="BO98" s="21"/>
      <c r="BP98" s="21"/>
      <c r="BQ98" s="21"/>
      <c r="BR98" s="21"/>
      <c r="BS98" s="21"/>
      <c r="BT98" s="21"/>
      <c r="BU98" s="21"/>
      <c r="BV98" s="21"/>
      <c r="BW98" s="21"/>
      <c r="BX98" s="21"/>
      <c r="BY98" s="21"/>
      <c r="BZ98" s="21"/>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c r="DA98" s="21"/>
      <c r="DB98" s="21"/>
      <c r="DC98" s="21"/>
      <c r="DD98" s="21"/>
      <c r="DE98" s="21"/>
      <c r="DF98" s="21"/>
      <c r="DG98" s="21"/>
      <c r="DH98" s="21"/>
      <c r="DI98" s="21"/>
      <c r="DJ98" s="21"/>
      <c r="DK98" s="21"/>
      <c r="DL98" s="21"/>
      <c r="DM98" s="21"/>
      <c r="DN98" s="21"/>
      <c r="DO98" s="21"/>
      <c r="DP98" s="21"/>
      <c r="DQ98" s="21"/>
      <c r="DR98" s="21"/>
      <c r="DS98" s="21"/>
      <c r="DT98" s="21"/>
      <c r="DU98" s="21"/>
    </row>
    <row r="99" spans="1:125" x14ac:dyDescent="0.2">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c r="AZ99" s="21"/>
      <c r="BA99" s="21"/>
      <c r="BB99" s="21"/>
      <c r="BC99" s="21"/>
      <c r="BD99" s="21"/>
      <c r="BE99" s="21"/>
      <c r="BF99" s="21"/>
      <c r="BG99" s="21"/>
      <c r="BH99" s="21"/>
      <c r="BI99" s="21"/>
      <c r="BJ99" s="21"/>
      <c r="BK99" s="21"/>
      <c r="BL99" s="21"/>
      <c r="BM99" s="21"/>
      <c r="BN99" s="21"/>
      <c r="BO99" s="21"/>
      <c r="BP99" s="21"/>
      <c r="BQ99" s="21"/>
      <c r="BR99" s="21"/>
      <c r="BS99" s="21"/>
      <c r="BT99" s="21"/>
      <c r="BU99" s="21"/>
      <c r="BV99" s="21"/>
      <c r="BW99" s="21"/>
      <c r="BX99" s="21"/>
      <c r="BY99" s="21"/>
      <c r="BZ99" s="21"/>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c r="DA99" s="21"/>
      <c r="DB99" s="21"/>
      <c r="DC99" s="21"/>
      <c r="DD99" s="21"/>
      <c r="DE99" s="21"/>
      <c r="DF99" s="21"/>
      <c r="DG99" s="21"/>
      <c r="DH99" s="21"/>
      <c r="DI99" s="21"/>
      <c r="DJ99" s="21"/>
      <c r="DK99" s="21"/>
      <c r="DL99" s="21"/>
      <c r="DM99" s="21"/>
      <c r="DN99" s="21"/>
      <c r="DO99" s="21"/>
      <c r="DP99" s="21"/>
      <c r="DQ99" s="21"/>
      <c r="DR99" s="21"/>
      <c r="DS99" s="21"/>
      <c r="DT99" s="21"/>
      <c r="DU99" s="21"/>
    </row>
    <row r="100" spans="1:125" x14ac:dyDescent="0.2">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c r="AZ100" s="21"/>
      <c r="BA100" s="21"/>
      <c r="BB100" s="21"/>
      <c r="BC100" s="21"/>
      <c r="BD100" s="21"/>
      <c r="BE100" s="21"/>
      <c r="BF100" s="21"/>
      <c r="BG100" s="21"/>
      <c r="BH100" s="21"/>
      <c r="BI100" s="21"/>
      <c r="BJ100" s="21"/>
      <c r="BK100" s="21"/>
      <c r="BL100" s="21"/>
      <c r="BM100" s="21"/>
      <c r="BN100" s="21"/>
      <c r="BO100" s="21"/>
      <c r="BP100" s="21"/>
      <c r="BQ100" s="21"/>
      <c r="BR100" s="21"/>
      <c r="BS100" s="21"/>
      <c r="BT100" s="21"/>
      <c r="BU100" s="21"/>
      <c r="BV100" s="21"/>
      <c r="BW100" s="21"/>
      <c r="BX100" s="21"/>
      <c r="BY100" s="21"/>
      <c r="BZ100" s="21"/>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c r="DA100" s="21"/>
      <c r="DB100" s="21"/>
      <c r="DC100" s="21"/>
      <c r="DD100" s="21"/>
      <c r="DE100" s="21"/>
      <c r="DF100" s="21"/>
      <c r="DG100" s="21"/>
      <c r="DH100" s="21"/>
      <c r="DI100" s="21"/>
      <c r="DJ100" s="21"/>
      <c r="DK100" s="21"/>
      <c r="DL100" s="21"/>
      <c r="DM100" s="21"/>
      <c r="DN100" s="21"/>
      <c r="DO100" s="21"/>
      <c r="DP100" s="21"/>
      <c r="DQ100" s="21"/>
      <c r="DR100" s="21"/>
      <c r="DS100" s="21"/>
      <c r="DT100" s="21"/>
      <c r="DU100" s="21"/>
    </row>
    <row r="101" spans="1:125" x14ac:dyDescent="0.2">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1"/>
      <c r="BB101" s="21"/>
      <c r="BC101" s="21"/>
      <c r="BD101" s="21"/>
      <c r="BE101" s="21"/>
      <c r="BF101" s="21"/>
      <c r="BG101" s="21"/>
      <c r="BH101" s="21"/>
      <c r="BI101" s="21"/>
      <c r="BJ101" s="21"/>
      <c r="BK101" s="21"/>
      <c r="BL101" s="21"/>
      <c r="BM101" s="21"/>
      <c r="BN101" s="21"/>
      <c r="BO101" s="21"/>
      <c r="BP101" s="21"/>
      <c r="BQ101" s="21"/>
      <c r="BR101" s="21"/>
      <c r="BS101" s="21"/>
      <c r="BT101" s="21"/>
      <c r="BU101" s="21"/>
      <c r="BV101" s="21"/>
      <c r="BW101" s="21"/>
      <c r="BX101" s="21"/>
      <c r="BY101" s="21"/>
      <c r="BZ101" s="21"/>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c r="DA101" s="21"/>
      <c r="DB101" s="21"/>
      <c r="DC101" s="21"/>
      <c r="DD101" s="21"/>
      <c r="DE101" s="21"/>
      <c r="DF101" s="21"/>
      <c r="DG101" s="21"/>
      <c r="DH101" s="21"/>
      <c r="DI101" s="21"/>
      <c r="DJ101" s="21"/>
      <c r="DK101" s="21"/>
      <c r="DL101" s="21"/>
      <c r="DM101" s="21"/>
      <c r="DN101" s="21"/>
      <c r="DO101" s="21"/>
      <c r="DP101" s="21"/>
      <c r="DQ101" s="21"/>
      <c r="DR101" s="21"/>
      <c r="DS101" s="21"/>
      <c r="DT101" s="21"/>
      <c r="DU101" s="21"/>
    </row>
    <row r="102" spans="1:125" x14ac:dyDescent="0.2">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c r="BM102" s="21"/>
      <c r="BN102" s="21"/>
      <c r="BO102" s="21"/>
      <c r="BP102" s="21"/>
      <c r="BQ102" s="21"/>
      <c r="BR102" s="21"/>
      <c r="BS102" s="21"/>
      <c r="BT102" s="21"/>
      <c r="BU102" s="21"/>
      <c r="BV102" s="21"/>
      <c r="BW102" s="21"/>
      <c r="BX102" s="21"/>
      <c r="BY102" s="21"/>
      <c r="BZ102" s="21"/>
      <c r="CA102" s="21"/>
      <c r="CB102" s="21"/>
      <c r="CC102" s="21"/>
      <c r="CD102" s="21"/>
      <c r="CE102" s="21"/>
      <c r="CF102" s="21"/>
      <c r="CG102" s="21"/>
      <c r="CH102" s="21"/>
      <c r="CI102" s="21"/>
      <c r="CJ102" s="21"/>
      <c r="CK102" s="21"/>
      <c r="CL102" s="21"/>
      <c r="CM102" s="21"/>
      <c r="CN102" s="21"/>
      <c r="CO102" s="21"/>
      <c r="CP102" s="21"/>
      <c r="CQ102" s="21"/>
      <c r="CR102" s="21"/>
      <c r="CS102" s="21"/>
      <c r="CT102" s="21"/>
      <c r="CU102" s="21"/>
      <c r="CV102" s="21"/>
      <c r="CW102" s="21"/>
      <c r="CX102" s="21"/>
      <c r="CY102" s="21"/>
      <c r="CZ102" s="21"/>
      <c r="DA102" s="21"/>
      <c r="DB102" s="21"/>
      <c r="DC102" s="21"/>
      <c r="DD102" s="21"/>
      <c r="DE102" s="21"/>
      <c r="DF102" s="21"/>
      <c r="DG102" s="21"/>
      <c r="DH102" s="21"/>
      <c r="DI102" s="21"/>
      <c r="DJ102" s="21"/>
      <c r="DK102" s="21"/>
      <c r="DL102" s="21"/>
      <c r="DM102" s="21"/>
      <c r="DN102" s="21"/>
      <c r="DO102" s="21"/>
      <c r="DP102" s="21"/>
      <c r="DQ102" s="21"/>
      <c r="DR102" s="21"/>
      <c r="DS102" s="21"/>
      <c r="DT102" s="21"/>
      <c r="DU102" s="21"/>
    </row>
    <row r="103" spans="1:125" x14ac:dyDescent="0.2">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c r="AZ103" s="21"/>
      <c r="BA103" s="21"/>
      <c r="BB103" s="21"/>
      <c r="BC103" s="21"/>
      <c r="BD103" s="21"/>
      <c r="BE103" s="21"/>
      <c r="BF103" s="21"/>
      <c r="BG103" s="21"/>
      <c r="BH103" s="21"/>
      <c r="BI103" s="21"/>
      <c r="BJ103" s="21"/>
      <c r="BK103" s="21"/>
      <c r="BL103" s="21"/>
      <c r="BM103" s="21"/>
      <c r="BN103" s="21"/>
      <c r="BO103" s="21"/>
      <c r="BP103" s="21"/>
      <c r="BQ103" s="21"/>
      <c r="BR103" s="21"/>
      <c r="BS103" s="21"/>
      <c r="BT103" s="21"/>
      <c r="BU103" s="21"/>
      <c r="BV103" s="21"/>
      <c r="BW103" s="21"/>
      <c r="BX103" s="21"/>
      <c r="BY103" s="21"/>
      <c r="BZ103" s="21"/>
      <c r="CA103" s="21"/>
      <c r="CB103" s="21"/>
      <c r="CC103" s="21"/>
      <c r="CD103" s="21"/>
      <c r="CE103" s="21"/>
      <c r="CF103" s="21"/>
      <c r="CG103" s="21"/>
      <c r="CH103" s="21"/>
      <c r="CI103" s="21"/>
      <c r="CJ103" s="21"/>
      <c r="CK103" s="21"/>
      <c r="CL103" s="21"/>
      <c r="CM103" s="21"/>
      <c r="CN103" s="21"/>
      <c r="CO103" s="21"/>
      <c r="CP103" s="21"/>
      <c r="CQ103" s="21"/>
      <c r="CR103" s="21"/>
      <c r="CS103" s="21"/>
      <c r="CT103" s="21"/>
      <c r="CU103" s="21"/>
      <c r="CV103" s="21"/>
      <c r="CW103" s="21"/>
      <c r="CX103" s="21"/>
      <c r="CY103" s="21"/>
      <c r="CZ103" s="21"/>
      <c r="DA103" s="21"/>
      <c r="DB103" s="21"/>
      <c r="DC103" s="21"/>
      <c r="DD103" s="21"/>
      <c r="DE103" s="21"/>
      <c r="DF103" s="21"/>
      <c r="DG103" s="21"/>
      <c r="DH103" s="21"/>
      <c r="DI103" s="21"/>
      <c r="DJ103" s="21"/>
      <c r="DK103" s="21"/>
      <c r="DL103" s="21"/>
      <c r="DM103" s="21"/>
      <c r="DN103" s="21"/>
      <c r="DO103" s="21"/>
      <c r="DP103" s="21"/>
      <c r="DQ103" s="21"/>
      <c r="DR103" s="21"/>
      <c r="DS103" s="21"/>
      <c r="DT103" s="21"/>
      <c r="DU103" s="21"/>
    </row>
    <row r="104" spans="1:125" x14ac:dyDescent="0.2">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c r="AZ104" s="21"/>
      <c r="BA104" s="21"/>
      <c r="BB104" s="21"/>
      <c r="BC104" s="21"/>
      <c r="BD104" s="21"/>
      <c r="BE104" s="21"/>
      <c r="BF104" s="21"/>
      <c r="BG104" s="21"/>
      <c r="BH104" s="21"/>
      <c r="BI104" s="21"/>
      <c r="BJ104" s="21"/>
      <c r="BK104" s="21"/>
      <c r="BL104" s="21"/>
      <c r="BM104" s="21"/>
      <c r="BN104" s="21"/>
      <c r="BO104" s="21"/>
      <c r="BP104" s="21"/>
      <c r="BQ104" s="21"/>
      <c r="BR104" s="21"/>
      <c r="BS104" s="21"/>
      <c r="BT104" s="21"/>
      <c r="BU104" s="21"/>
      <c r="BV104" s="21"/>
      <c r="BW104" s="21"/>
      <c r="BX104" s="21"/>
      <c r="BY104" s="21"/>
      <c r="BZ104" s="21"/>
      <c r="CA104" s="21"/>
      <c r="CB104" s="21"/>
      <c r="CC104" s="21"/>
      <c r="CD104" s="21"/>
      <c r="CE104" s="21"/>
      <c r="CF104" s="21"/>
      <c r="CG104" s="21"/>
      <c r="CH104" s="21"/>
      <c r="CI104" s="21"/>
      <c r="CJ104" s="21"/>
      <c r="CK104" s="21"/>
      <c r="CL104" s="21"/>
      <c r="CM104" s="21"/>
      <c r="CN104" s="21"/>
      <c r="CO104" s="21"/>
      <c r="CP104" s="21"/>
      <c r="CQ104" s="21"/>
      <c r="CR104" s="21"/>
      <c r="CS104" s="21"/>
      <c r="CT104" s="21"/>
      <c r="CU104" s="21"/>
      <c r="CV104" s="21"/>
      <c r="CW104" s="21"/>
      <c r="CX104" s="21"/>
      <c r="CY104" s="21"/>
      <c r="CZ104" s="21"/>
      <c r="DA104" s="21"/>
      <c r="DB104" s="21"/>
      <c r="DC104" s="21"/>
      <c r="DD104" s="21"/>
      <c r="DE104" s="21"/>
      <c r="DF104" s="21"/>
      <c r="DG104" s="21"/>
      <c r="DH104" s="21"/>
      <c r="DI104" s="21"/>
      <c r="DJ104" s="21"/>
      <c r="DK104" s="21"/>
      <c r="DL104" s="21"/>
      <c r="DM104" s="21"/>
      <c r="DN104" s="21"/>
      <c r="DO104" s="21"/>
      <c r="DP104" s="21"/>
      <c r="DQ104" s="21"/>
      <c r="DR104" s="21"/>
      <c r="DS104" s="21"/>
      <c r="DT104" s="21"/>
      <c r="DU104" s="21"/>
    </row>
    <row r="105" spans="1:125" x14ac:dyDescent="0.2">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c r="AZ105" s="21"/>
      <c r="BA105" s="21"/>
      <c r="BB105" s="21"/>
      <c r="BC105" s="21"/>
      <c r="BD105" s="21"/>
      <c r="BE105" s="21"/>
      <c r="BF105" s="21"/>
      <c r="BG105" s="21"/>
      <c r="BH105" s="21"/>
      <c r="BI105" s="21"/>
      <c r="BJ105" s="21"/>
      <c r="BK105" s="21"/>
      <c r="BL105" s="21"/>
      <c r="BM105" s="21"/>
      <c r="BN105" s="21"/>
      <c r="BO105" s="21"/>
      <c r="BP105" s="21"/>
      <c r="BQ105" s="21"/>
      <c r="BR105" s="21"/>
      <c r="BS105" s="21"/>
      <c r="BT105" s="21"/>
      <c r="BU105" s="21"/>
      <c r="BV105" s="21"/>
      <c r="BW105" s="21"/>
      <c r="BX105" s="21"/>
      <c r="BY105" s="21"/>
      <c r="BZ105" s="21"/>
      <c r="CA105" s="21"/>
      <c r="CB105" s="21"/>
      <c r="CC105" s="21"/>
      <c r="CD105" s="21"/>
      <c r="CE105" s="21"/>
      <c r="CF105" s="21"/>
      <c r="CG105" s="21"/>
      <c r="CH105" s="21"/>
      <c r="CI105" s="21"/>
      <c r="CJ105" s="21"/>
      <c r="CK105" s="21"/>
      <c r="CL105" s="21"/>
      <c r="CM105" s="21"/>
      <c r="CN105" s="21"/>
      <c r="CO105" s="21"/>
      <c r="CP105" s="21"/>
      <c r="CQ105" s="21"/>
      <c r="CR105" s="21"/>
      <c r="CS105" s="21"/>
      <c r="CT105" s="21"/>
      <c r="CU105" s="21"/>
      <c r="CV105" s="21"/>
      <c r="CW105" s="21"/>
      <c r="CX105" s="21"/>
      <c r="CY105" s="21"/>
      <c r="CZ105" s="21"/>
      <c r="DA105" s="21"/>
      <c r="DB105" s="21"/>
      <c r="DC105" s="21"/>
      <c r="DD105" s="21"/>
      <c r="DE105" s="21"/>
      <c r="DF105" s="21"/>
      <c r="DG105" s="21"/>
      <c r="DH105" s="21"/>
      <c r="DI105" s="21"/>
      <c r="DJ105" s="21"/>
      <c r="DK105" s="21"/>
      <c r="DL105" s="21"/>
      <c r="DM105" s="21"/>
      <c r="DN105" s="21"/>
      <c r="DO105" s="21"/>
      <c r="DP105" s="21"/>
      <c r="DQ105" s="21"/>
      <c r="DR105" s="21"/>
      <c r="DS105" s="21"/>
      <c r="DT105" s="21"/>
      <c r="DU105" s="21"/>
    </row>
    <row r="106" spans="1:125" x14ac:dyDescent="0.2">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c r="AZ106" s="21"/>
      <c r="BA106" s="21"/>
      <c r="BB106" s="21"/>
      <c r="BC106" s="21"/>
      <c r="BD106" s="21"/>
      <c r="BE106" s="21"/>
      <c r="BF106" s="21"/>
      <c r="BG106" s="21"/>
      <c r="BH106" s="21"/>
      <c r="BI106" s="21"/>
      <c r="BJ106" s="21"/>
      <c r="BK106" s="21"/>
      <c r="BL106" s="21"/>
      <c r="BM106" s="21"/>
      <c r="BN106" s="21"/>
      <c r="BO106" s="21"/>
      <c r="BP106" s="21"/>
      <c r="BQ106" s="21"/>
      <c r="BR106" s="21"/>
      <c r="BS106" s="21"/>
      <c r="BT106" s="21"/>
      <c r="BU106" s="21"/>
      <c r="BV106" s="21"/>
      <c r="BW106" s="21"/>
      <c r="BX106" s="21"/>
      <c r="BY106" s="21"/>
      <c r="BZ106" s="21"/>
      <c r="CA106" s="21"/>
      <c r="CB106" s="21"/>
      <c r="CC106" s="21"/>
      <c r="CD106" s="21"/>
      <c r="CE106" s="21"/>
      <c r="CF106" s="21"/>
      <c r="CG106" s="21"/>
      <c r="CH106" s="21"/>
      <c r="CI106" s="21"/>
      <c r="CJ106" s="21"/>
      <c r="CK106" s="21"/>
      <c r="CL106" s="21"/>
      <c r="CM106" s="21"/>
      <c r="CN106" s="21"/>
      <c r="CO106" s="21"/>
      <c r="CP106" s="21"/>
      <c r="CQ106" s="21"/>
      <c r="CR106" s="21"/>
      <c r="CS106" s="21"/>
      <c r="CT106" s="21"/>
      <c r="CU106" s="21"/>
      <c r="CV106" s="21"/>
      <c r="CW106" s="21"/>
      <c r="CX106" s="21"/>
      <c r="CY106" s="21"/>
      <c r="CZ106" s="21"/>
      <c r="DA106" s="21"/>
      <c r="DB106" s="21"/>
      <c r="DC106" s="21"/>
      <c r="DD106" s="21"/>
      <c r="DE106" s="21"/>
      <c r="DF106" s="21"/>
      <c r="DG106" s="21"/>
      <c r="DH106" s="21"/>
      <c r="DI106" s="21"/>
      <c r="DJ106" s="21"/>
      <c r="DK106" s="21"/>
      <c r="DL106" s="21"/>
      <c r="DM106" s="21"/>
      <c r="DN106" s="21"/>
      <c r="DO106" s="21"/>
      <c r="DP106" s="21"/>
      <c r="DQ106" s="21"/>
      <c r="DR106" s="21"/>
      <c r="DS106" s="21"/>
      <c r="DT106" s="21"/>
      <c r="DU106" s="21"/>
    </row>
    <row r="107" spans="1:125" x14ac:dyDescent="0.2">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21"/>
      <c r="BG107" s="21"/>
      <c r="BH107" s="21"/>
      <c r="BI107" s="21"/>
      <c r="BJ107" s="21"/>
      <c r="BK107" s="21"/>
      <c r="BL107" s="21"/>
      <c r="BM107" s="21"/>
      <c r="BN107" s="21"/>
      <c r="BO107" s="21"/>
      <c r="BP107" s="21"/>
      <c r="BQ107" s="21"/>
      <c r="BR107" s="21"/>
      <c r="BS107" s="21"/>
      <c r="BT107" s="21"/>
      <c r="BU107" s="21"/>
      <c r="BV107" s="21"/>
      <c r="BW107" s="21"/>
      <c r="BX107" s="21"/>
      <c r="BY107" s="21"/>
      <c r="BZ107" s="21"/>
      <c r="CA107" s="21"/>
      <c r="CB107" s="21"/>
      <c r="CC107" s="21"/>
      <c r="CD107" s="21"/>
      <c r="CE107" s="21"/>
      <c r="CF107" s="21"/>
      <c r="CG107" s="21"/>
      <c r="CH107" s="21"/>
      <c r="CI107" s="21"/>
      <c r="CJ107" s="21"/>
      <c r="CK107" s="21"/>
      <c r="CL107" s="21"/>
      <c r="CM107" s="21"/>
      <c r="CN107" s="21"/>
      <c r="CO107" s="21"/>
      <c r="CP107" s="21"/>
      <c r="CQ107" s="21"/>
      <c r="CR107" s="21"/>
      <c r="CS107" s="21"/>
      <c r="CT107" s="21"/>
      <c r="CU107" s="21"/>
      <c r="CV107" s="21"/>
      <c r="CW107" s="21"/>
      <c r="CX107" s="21"/>
      <c r="CY107" s="21"/>
      <c r="CZ107" s="21"/>
      <c r="DA107" s="21"/>
      <c r="DB107" s="21"/>
      <c r="DC107" s="21"/>
      <c r="DD107" s="21"/>
      <c r="DE107" s="21"/>
      <c r="DF107" s="21"/>
      <c r="DG107" s="21"/>
      <c r="DH107" s="21"/>
      <c r="DI107" s="21"/>
      <c r="DJ107" s="21"/>
      <c r="DK107" s="21"/>
      <c r="DL107" s="21"/>
      <c r="DM107" s="21"/>
      <c r="DN107" s="21"/>
      <c r="DO107" s="21"/>
      <c r="DP107" s="21"/>
      <c r="DQ107" s="21"/>
      <c r="DR107" s="21"/>
      <c r="DS107" s="21"/>
      <c r="DT107" s="21"/>
      <c r="DU107" s="21"/>
    </row>
    <row r="108" spans="1:125" x14ac:dyDescent="0.2">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1"/>
      <c r="BB108" s="21"/>
      <c r="BC108" s="21"/>
      <c r="BD108" s="21"/>
      <c r="BE108" s="21"/>
      <c r="BF108" s="21"/>
      <c r="BG108" s="21"/>
      <c r="BH108" s="21"/>
      <c r="BI108" s="21"/>
      <c r="BJ108" s="21"/>
      <c r="BK108" s="21"/>
      <c r="BL108" s="21"/>
      <c r="BM108" s="21"/>
      <c r="BN108" s="21"/>
      <c r="BO108" s="21"/>
      <c r="BP108" s="21"/>
      <c r="BQ108" s="21"/>
      <c r="BR108" s="21"/>
      <c r="BS108" s="21"/>
      <c r="BT108" s="21"/>
      <c r="BU108" s="21"/>
      <c r="BV108" s="21"/>
      <c r="BW108" s="21"/>
      <c r="BX108" s="21"/>
      <c r="BY108" s="21"/>
      <c r="BZ108" s="21"/>
      <c r="CA108" s="21"/>
      <c r="CB108" s="21"/>
      <c r="CC108" s="21"/>
      <c r="CD108" s="21"/>
      <c r="CE108" s="21"/>
      <c r="CF108" s="21"/>
      <c r="CG108" s="21"/>
      <c r="CH108" s="21"/>
      <c r="CI108" s="21"/>
      <c r="CJ108" s="21"/>
      <c r="CK108" s="21"/>
      <c r="CL108" s="21"/>
      <c r="CM108" s="21"/>
      <c r="CN108" s="21"/>
      <c r="CO108" s="21"/>
      <c r="CP108" s="21"/>
      <c r="CQ108" s="21"/>
      <c r="CR108" s="21"/>
      <c r="CS108" s="21"/>
      <c r="CT108" s="21"/>
      <c r="CU108" s="21"/>
      <c r="CV108" s="21"/>
      <c r="CW108" s="21"/>
      <c r="CX108" s="21"/>
      <c r="CY108" s="21"/>
      <c r="CZ108" s="21"/>
      <c r="DA108" s="21"/>
      <c r="DB108" s="21"/>
      <c r="DC108" s="21"/>
      <c r="DD108" s="21"/>
      <c r="DE108" s="21"/>
      <c r="DF108" s="21"/>
      <c r="DG108" s="21"/>
      <c r="DH108" s="21"/>
      <c r="DI108" s="21"/>
      <c r="DJ108" s="21"/>
      <c r="DK108" s="21"/>
      <c r="DL108" s="21"/>
      <c r="DM108" s="21"/>
      <c r="DN108" s="21"/>
      <c r="DO108" s="21"/>
      <c r="DP108" s="21"/>
      <c r="DQ108" s="21"/>
      <c r="DR108" s="21"/>
      <c r="DS108" s="21"/>
      <c r="DT108" s="21"/>
      <c r="DU108" s="21"/>
    </row>
    <row r="109" spans="1:125" x14ac:dyDescent="0.2">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c r="AZ109" s="21"/>
      <c r="BA109" s="21"/>
      <c r="BB109" s="21"/>
      <c r="BC109" s="21"/>
      <c r="BD109" s="21"/>
      <c r="BE109" s="21"/>
      <c r="BF109" s="21"/>
      <c r="BG109" s="21"/>
      <c r="BH109" s="21"/>
      <c r="BI109" s="21"/>
      <c r="BJ109" s="21"/>
      <c r="BK109" s="21"/>
      <c r="BL109" s="21"/>
      <c r="BM109" s="21"/>
      <c r="BN109" s="21"/>
      <c r="BO109" s="21"/>
      <c r="BP109" s="21"/>
      <c r="BQ109" s="21"/>
      <c r="BR109" s="21"/>
      <c r="BS109" s="21"/>
      <c r="BT109" s="21"/>
      <c r="BU109" s="21"/>
      <c r="BV109" s="21"/>
      <c r="BW109" s="21"/>
      <c r="BX109" s="21"/>
      <c r="BY109" s="21"/>
      <c r="BZ109" s="21"/>
      <c r="CA109" s="21"/>
      <c r="CB109" s="21"/>
      <c r="CC109" s="21"/>
      <c r="CD109" s="21"/>
      <c r="CE109" s="21"/>
      <c r="CF109" s="21"/>
      <c r="CG109" s="21"/>
      <c r="CH109" s="21"/>
      <c r="CI109" s="21"/>
      <c r="CJ109" s="21"/>
      <c r="CK109" s="21"/>
      <c r="CL109" s="21"/>
      <c r="CM109" s="21"/>
      <c r="CN109" s="21"/>
      <c r="CO109" s="21"/>
      <c r="CP109" s="21"/>
      <c r="CQ109" s="21"/>
      <c r="CR109" s="21"/>
      <c r="CS109" s="21"/>
      <c r="CT109" s="21"/>
      <c r="CU109" s="21"/>
      <c r="CV109" s="21"/>
      <c r="CW109" s="21"/>
      <c r="CX109" s="21"/>
      <c r="CY109" s="21"/>
      <c r="CZ109" s="21"/>
      <c r="DA109" s="21"/>
      <c r="DB109" s="21"/>
      <c r="DC109" s="21"/>
      <c r="DD109" s="21"/>
      <c r="DE109" s="21"/>
      <c r="DF109" s="21"/>
      <c r="DG109" s="21"/>
      <c r="DH109" s="21"/>
      <c r="DI109" s="21"/>
      <c r="DJ109" s="21"/>
      <c r="DK109" s="21"/>
      <c r="DL109" s="21"/>
      <c r="DM109" s="21"/>
      <c r="DN109" s="21"/>
      <c r="DO109" s="21"/>
      <c r="DP109" s="21"/>
      <c r="DQ109" s="21"/>
      <c r="DR109" s="21"/>
      <c r="DS109" s="21"/>
      <c r="DT109" s="21"/>
      <c r="DU109" s="21"/>
    </row>
    <row r="110" spans="1:125" x14ac:dyDescent="0.2">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1"/>
      <c r="BB110" s="21"/>
      <c r="BC110" s="21"/>
      <c r="BD110" s="21"/>
      <c r="BE110" s="21"/>
      <c r="BF110" s="21"/>
      <c r="BG110" s="21"/>
      <c r="BH110" s="21"/>
      <c r="BI110" s="21"/>
      <c r="BJ110" s="21"/>
      <c r="BK110" s="21"/>
      <c r="BL110" s="21"/>
      <c r="BM110" s="21"/>
      <c r="BN110" s="21"/>
      <c r="BO110" s="21"/>
      <c r="BP110" s="21"/>
      <c r="BQ110" s="21"/>
      <c r="BR110" s="21"/>
      <c r="BS110" s="21"/>
      <c r="BT110" s="21"/>
      <c r="BU110" s="21"/>
      <c r="BV110" s="21"/>
      <c r="BW110" s="21"/>
      <c r="BX110" s="21"/>
      <c r="BY110" s="21"/>
      <c r="BZ110" s="21"/>
      <c r="CA110" s="21"/>
      <c r="CB110" s="21"/>
      <c r="CC110" s="21"/>
      <c r="CD110" s="21"/>
      <c r="CE110" s="21"/>
      <c r="CF110" s="21"/>
      <c r="CG110" s="21"/>
      <c r="CH110" s="21"/>
      <c r="CI110" s="21"/>
      <c r="CJ110" s="21"/>
      <c r="CK110" s="21"/>
      <c r="CL110" s="21"/>
      <c r="CM110" s="21"/>
      <c r="CN110" s="21"/>
      <c r="CO110" s="21"/>
      <c r="CP110" s="21"/>
      <c r="CQ110" s="21"/>
      <c r="CR110" s="21"/>
      <c r="CS110" s="21"/>
      <c r="CT110" s="21"/>
      <c r="CU110" s="21"/>
      <c r="CV110" s="21"/>
      <c r="CW110" s="21"/>
      <c r="CX110" s="21"/>
      <c r="CY110" s="21"/>
      <c r="CZ110" s="21"/>
      <c r="DA110" s="21"/>
      <c r="DB110" s="21"/>
      <c r="DC110" s="21"/>
      <c r="DD110" s="21"/>
      <c r="DE110" s="21"/>
      <c r="DF110" s="21"/>
      <c r="DG110" s="21"/>
      <c r="DH110" s="21"/>
      <c r="DI110" s="21"/>
      <c r="DJ110" s="21"/>
      <c r="DK110" s="21"/>
      <c r="DL110" s="21"/>
      <c r="DM110" s="21"/>
      <c r="DN110" s="21"/>
      <c r="DO110" s="21"/>
      <c r="DP110" s="21"/>
      <c r="DQ110" s="21"/>
      <c r="DR110" s="21"/>
      <c r="DS110" s="21"/>
      <c r="DT110" s="21"/>
      <c r="DU110" s="21"/>
    </row>
    <row r="111" spans="1:125" x14ac:dyDescent="0.2">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c r="AZ111" s="21"/>
      <c r="BA111" s="21"/>
      <c r="BB111" s="21"/>
      <c r="BC111" s="21"/>
      <c r="BD111" s="21"/>
      <c r="BE111" s="21"/>
      <c r="BF111" s="21"/>
      <c r="BG111" s="21"/>
      <c r="BH111" s="21"/>
      <c r="BI111" s="21"/>
      <c r="BJ111" s="21"/>
      <c r="BK111" s="21"/>
      <c r="BL111" s="21"/>
      <c r="BM111" s="21"/>
      <c r="BN111" s="21"/>
      <c r="BO111" s="21"/>
      <c r="BP111" s="21"/>
      <c r="BQ111" s="21"/>
      <c r="BR111" s="21"/>
      <c r="BS111" s="21"/>
      <c r="BT111" s="21"/>
      <c r="BU111" s="21"/>
      <c r="BV111" s="21"/>
      <c r="BW111" s="21"/>
      <c r="BX111" s="21"/>
      <c r="BY111" s="21"/>
      <c r="BZ111" s="21"/>
      <c r="CA111" s="21"/>
      <c r="CB111" s="21"/>
      <c r="CC111" s="21"/>
      <c r="CD111" s="21"/>
      <c r="CE111" s="21"/>
      <c r="CF111" s="21"/>
      <c r="CG111" s="21"/>
      <c r="CH111" s="21"/>
      <c r="CI111" s="21"/>
      <c r="CJ111" s="21"/>
      <c r="CK111" s="21"/>
      <c r="CL111" s="21"/>
      <c r="CM111" s="21"/>
      <c r="CN111" s="21"/>
      <c r="CO111" s="21"/>
      <c r="CP111" s="21"/>
      <c r="CQ111" s="21"/>
      <c r="CR111" s="21"/>
      <c r="CS111" s="21"/>
      <c r="CT111" s="21"/>
      <c r="CU111" s="21"/>
      <c r="CV111" s="21"/>
      <c r="CW111" s="21"/>
      <c r="CX111" s="21"/>
      <c r="CY111" s="21"/>
      <c r="CZ111" s="21"/>
      <c r="DA111" s="21"/>
      <c r="DB111" s="21"/>
      <c r="DC111" s="21"/>
      <c r="DD111" s="21"/>
      <c r="DE111" s="21"/>
      <c r="DF111" s="21"/>
      <c r="DG111" s="21"/>
      <c r="DH111" s="21"/>
      <c r="DI111" s="21"/>
      <c r="DJ111" s="21"/>
      <c r="DK111" s="21"/>
      <c r="DL111" s="21"/>
      <c r="DM111" s="21"/>
      <c r="DN111" s="21"/>
      <c r="DO111" s="21"/>
      <c r="DP111" s="21"/>
      <c r="DQ111" s="21"/>
      <c r="DR111" s="21"/>
      <c r="DS111" s="21"/>
      <c r="DT111" s="21"/>
      <c r="DU111" s="21"/>
    </row>
    <row r="112" spans="1:125" x14ac:dyDescent="0.2">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c r="AZ112" s="21"/>
      <c r="BA112" s="21"/>
      <c r="BB112" s="21"/>
      <c r="BC112" s="21"/>
      <c r="BD112" s="21"/>
      <c r="BE112" s="21"/>
      <c r="BF112" s="21"/>
      <c r="BG112" s="21"/>
      <c r="BH112" s="21"/>
      <c r="BI112" s="21"/>
      <c r="BJ112" s="21"/>
      <c r="BK112" s="21"/>
      <c r="BL112" s="21"/>
      <c r="BM112" s="21"/>
      <c r="BN112" s="21"/>
      <c r="BO112" s="21"/>
      <c r="BP112" s="21"/>
      <c r="BQ112" s="21"/>
      <c r="BR112" s="21"/>
      <c r="BS112" s="21"/>
      <c r="BT112" s="21"/>
      <c r="BU112" s="21"/>
      <c r="BV112" s="21"/>
      <c r="BW112" s="21"/>
      <c r="BX112" s="21"/>
      <c r="BY112" s="21"/>
      <c r="BZ112" s="21"/>
      <c r="CA112" s="21"/>
      <c r="CB112" s="21"/>
      <c r="CC112" s="21"/>
      <c r="CD112" s="21"/>
      <c r="CE112" s="21"/>
      <c r="CF112" s="21"/>
      <c r="CG112" s="21"/>
      <c r="CH112" s="21"/>
      <c r="CI112" s="21"/>
      <c r="CJ112" s="21"/>
      <c r="CK112" s="21"/>
      <c r="CL112" s="21"/>
      <c r="CM112" s="21"/>
      <c r="CN112" s="21"/>
      <c r="CO112" s="21"/>
      <c r="CP112" s="21"/>
      <c r="CQ112" s="21"/>
      <c r="CR112" s="21"/>
      <c r="CS112" s="21"/>
      <c r="CT112" s="21"/>
      <c r="CU112" s="21"/>
      <c r="CV112" s="21"/>
      <c r="CW112" s="21"/>
      <c r="CX112" s="21"/>
      <c r="CY112" s="21"/>
      <c r="CZ112" s="21"/>
      <c r="DA112" s="21"/>
      <c r="DB112" s="21"/>
      <c r="DC112" s="21"/>
      <c r="DD112" s="21"/>
      <c r="DE112" s="21"/>
      <c r="DF112" s="21"/>
      <c r="DG112" s="21"/>
      <c r="DH112" s="21"/>
      <c r="DI112" s="21"/>
      <c r="DJ112" s="21"/>
      <c r="DK112" s="21"/>
      <c r="DL112" s="21"/>
      <c r="DM112" s="21"/>
      <c r="DN112" s="21"/>
      <c r="DO112" s="21"/>
      <c r="DP112" s="21"/>
      <c r="DQ112" s="21"/>
      <c r="DR112" s="21"/>
      <c r="DS112" s="21"/>
      <c r="DT112" s="21"/>
      <c r="DU112" s="21"/>
    </row>
    <row r="113" spans="1:125" x14ac:dyDescent="0.2">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c r="AZ113" s="21"/>
      <c r="BA113" s="21"/>
      <c r="BB113" s="21"/>
      <c r="BC113" s="21"/>
      <c r="BD113" s="21"/>
      <c r="BE113" s="21"/>
      <c r="BF113" s="21"/>
      <c r="BG113" s="21"/>
      <c r="BH113" s="21"/>
      <c r="BI113" s="21"/>
      <c r="BJ113" s="21"/>
      <c r="BK113" s="21"/>
      <c r="BL113" s="21"/>
      <c r="BM113" s="21"/>
      <c r="BN113" s="21"/>
      <c r="BO113" s="21"/>
      <c r="BP113" s="21"/>
      <c r="BQ113" s="21"/>
      <c r="BR113" s="21"/>
      <c r="BS113" s="21"/>
      <c r="BT113" s="21"/>
      <c r="BU113" s="21"/>
      <c r="BV113" s="21"/>
      <c r="BW113" s="21"/>
      <c r="BX113" s="21"/>
      <c r="BY113" s="21"/>
      <c r="BZ113" s="21"/>
      <c r="CA113" s="21"/>
      <c r="CB113" s="21"/>
      <c r="CC113" s="21"/>
      <c r="CD113" s="21"/>
      <c r="CE113" s="21"/>
      <c r="CF113" s="21"/>
      <c r="CG113" s="21"/>
      <c r="CH113" s="21"/>
      <c r="CI113" s="21"/>
      <c r="CJ113" s="21"/>
      <c r="CK113" s="21"/>
      <c r="CL113" s="21"/>
      <c r="CM113" s="21"/>
      <c r="CN113" s="21"/>
      <c r="CO113" s="21"/>
      <c r="CP113" s="21"/>
      <c r="CQ113" s="21"/>
      <c r="CR113" s="21"/>
      <c r="CS113" s="21"/>
      <c r="CT113" s="21"/>
      <c r="CU113" s="21"/>
      <c r="CV113" s="21"/>
      <c r="CW113" s="21"/>
      <c r="CX113" s="21"/>
      <c r="CY113" s="21"/>
      <c r="CZ113" s="21"/>
      <c r="DA113" s="21"/>
      <c r="DB113" s="21"/>
      <c r="DC113" s="21"/>
      <c r="DD113" s="21"/>
      <c r="DE113" s="21"/>
      <c r="DF113" s="21"/>
      <c r="DG113" s="21"/>
      <c r="DH113" s="21"/>
      <c r="DI113" s="21"/>
      <c r="DJ113" s="21"/>
      <c r="DK113" s="21"/>
      <c r="DL113" s="21"/>
      <c r="DM113" s="21"/>
      <c r="DN113" s="21"/>
      <c r="DO113" s="21"/>
      <c r="DP113" s="21"/>
      <c r="DQ113" s="21"/>
      <c r="DR113" s="21"/>
      <c r="DS113" s="21"/>
      <c r="DT113" s="21"/>
      <c r="DU113" s="21"/>
    </row>
    <row r="114" spans="1:125" x14ac:dyDescent="0.2">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21"/>
      <c r="BG114" s="21"/>
      <c r="BH114" s="21"/>
      <c r="BI114" s="21"/>
      <c r="BJ114" s="21"/>
      <c r="BK114" s="21"/>
      <c r="BL114" s="21"/>
      <c r="BM114" s="21"/>
      <c r="BN114" s="21"/>
      <c r="BO114" s="21"/>
      <c r="BP114" s="21"/>
      <c r="BQ114" s="21"/>
      <c r="BR114" s="21"/>
      <c r="BS114" s="21"/>
      <c r="BT114" s="21"/>
      <c r="BU114" s="21"/>
      <c r="BV114" s="21"/>
      <c r="BW114" s="21"/>
      <c r="BX114" s="21"/>
      <c r="BY114" s="21"/>
      <c r="BZ114" s="21"/>
      <c r="CA114" s="21"/>
      <c r="CB114" s="21"/>
      <c r="CC114" s="21"/>
      <c r="CD114" s="21"/>
      <c r="CE114" s="21"/>
      <c r="CF114" s="21"/>
      <c r="CG114" s="21"/>
      <c r="CH114" s="21"/>
      <c r="CI114" s="21"/>
      <c r="CJ114" s="21"/>
      <c r="CK114" s="21"/>
      <c r="CL114" s="21"/>
      <c r="CM114" s="21"/>
      <c r="CN114" s="21"/>
      <c r="CO114" s="21"/>
      <c r="CP114" s="21"/>
      <c r="CQ114" s="21"/>
      <c r="CR114" s="21"/>
      <c r="CS114" s="21"/>
      <c r="CT114" s="21"/>
      <c r="CU114" s="21"/>
      <c r="CV114" s="21"/>
      <c r="CW114" s="21"/>
      <c r="CX114" s="21"/>
      <c r="CY114" s="21"/>
      <c r="CZ114" s="21"/>
      <c r="DA114" s="21"/>
      <c r="DB114" s="21"/>
      <c r="DC114" s="21"/>
      <c r="DD114" s="21"/>
      <c r="DE114" s="21"/>
      <c r="DF114" s="21"/>
      <c r="DG114" s="21"/>
      <c r="DH114" s="21"/>
      <c r="DI114" s="21"/>
      <c r="DJ114" s="21"/>
      <c r="DK114" s="21"/>
      <c r="DL114" s="21"/>
      <c r="DM114" s="21"/>
      <c r="DN114" s="21"/>
      <c r="DO114" s="21"/>
      <c r="DP114" s="21"/>
      <c r="DQ114" s="21"/>
      <c r="DR114" s="21"/>
      <c r="DS114" s="21"/>
      <c r="DT114" s="21"/>
      <c r="DU114" s="21"/>
    </row>
    <row r="115" spans="1:125" x14ac:dyDescent="0.2">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c r="AZ115" s="21"/>
      <c r="BA115" s="21"/>
      <c r="BB115" s="21"/>
      <c r="BC115" s="21"/>
      <c r="BD115" s="21"/>
      <c r="BE115" s="21"/>
      <c r="BF115" s="21"/>
      <c r="BG115" s="21"/>
      <c r="BH115" s="21"/>
      <c r="BI115" s="21"/>
      <c r="BJ115" s="21"/>
      <c r="BK115" s="21"/>
      <c r="BL115" s="21"/>
      <c r="BM115" s="21"/>
      <c r="BN115" s="21"/>
      <c r="BO115" s="21"/>
      <c r="BP115" s="21"/>
      <c r="BQ115" s="21"/>
      <c r="BR115" s="21"/>
      <c r="BS115" s="21"/>
      <c r="BT115" s="21"/>
      <c r="BU115" s="21"/>
      <c r="BV115" s="21"/>
      <c r="BW115" s="21"/>
      <c r="BX115" s="21"/>
      <c r="BY115" s="21"/>
      <c r="BZ115" s="21"/>
      <c r="CA115" s="21"/>
      <c r="CB115" s="21"/>
      <c r="CC115" s="21"/>
      <c r="CD115" s="21"/>
      <c r="CE115" s="21"/>
      <c r="CF115" s="21"/>
      <c r="CG115" s="21"/>
      <c r="CH115" s="21"/>
      <c r="CI115" s="21"/>
      <c r="CJ115" s="21"/>
      <c r="CK115" s="21"/>
      <c r="CL115" s="21"/>
      <c r="CM115" s="21"/>
      <c r="CN115" s="21"/>
      <c r="CO115" s="21"/>
      <c r="CP115" s="21"/>
      <c r="CQ115" s="21"/>
      <c r="CR115" s="21"/>
      <c r="CS115" s="21"/>
      <c r="CT115" s="21"/>
      <c r="CU115" s="21"/>
      <c r="CV115" s="21"/>
      <c r="CW115" s="21"/>
      <c r="CX115" s="21"/>
      <c r="CY115" s="21"/>
      <c r="CZ115" s="21"/>
      <c r="DA115" s="21"/>
      <c r="DB115" s="21"/>
      <c r="DC115" s="21"/>
      <c r="DD115" s="21"/>
      <c r="DE115" s="21"/>
      <c r="DF115" s="21"/>
      <c r="DG115" s="21"/>
      <c r="DH115" s="21"/>
      <c r="DI115" s="21"/>
      <c r="DJ115" s="21"/>
      <c r="DK115" s="21"/>
      <c r="DL115" s="21"/>
      <c r="DM115" s="21"/>
      <c r="DN115" s="21"/>
      <c r="DO115" s="21"/>
      <c r="DP115" s="21"/>
      <c r="DQ115" s="21"/>
      <c r="DR115" s="21"/>
      <c r="DS115" s="21"/>
      <c r="DT115" s="21"/>
      <c r="DU115" s="21"/>
    </row>
    <row r="116" spans="1:125" x14ac:dyDescent="0.2">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c r="AZ116" s="21"/>
      <c r="BA116" s="21"/>
      <c r="BB116" s="21"/>
      <c r="BC116" s="21"/>
      <c r="BD116" s="21"/>
      <c r="BE116" s="21"/>
      <c r="BF116" s="21"/>
      <c r="BG116" s="21"/>
      <c r="BH116" s="21"/>
      <c r="BI116" s="21"/>
      <c r="BJ116" s="21"/>
      <c r="BK116" s="21"/>
      <c r="BL116" s="21"/>
      <c r="BM116" s="21"/>
      <c r="BN116" s="21"/>
      <c r="BO116" s="21"/>
      <c r="BP116" s="21"/>
      <c r="BQ116" s="21"/>
      <c r="BR116" s="21"/>
      <c r="BS116" s="21"/>
      <c r="BT116" s="21"/>
      <c r="BU116" s="21"/>
      <c r="BV116" s="21"/>
      <c r="BW116" s="21"/>
      <c r="BX116" s="21"/>
      <c r="BY116" s="21"/>
      <c r="BZ116" s="21"/>
      <c r="CA116" s="21"/>
      <c r="CB116" s="21"/>
      <c r="CC116" s="21"/>
      <c r="CD116" s="21"/>
      <c r="CE116" s="21"/>
      <c r="CF116" s="21"/>
      <c r="CG116" s="21"/>
      <c r="CH116" s="21"/>
      <c r="CI116" s="21"/>
      <c r="CJ116" s="21"/>
      <c r="CK116" s="21"/>
      <c r="CL116" s="21"/>
      <c r="CM116" s="21"/>
      <c r="CN116" s="21"/>
      <c r="CO116" s="21"/>
      <c r="CP116" s="21"/>
      <c r="CQ116" s="21"/>
      <c r="CR116" s="21"/>
      <c r="CS116" s="21"/>
      <c r="CT116" s="21"/>
      <c r="CU116" s="21"/>
      <c r="CV116" s="21"/>
      <c r="CW116" s="21"/>
      <c r="CX116" s="21"/>
      <c r="CY116" s="21"/>
      <c r="CZ116" s="21"/>
      <c r="DA116" s="21"/>
      <c r="DB116" s="21"/>
      <c r="DC116" s="21"/>
      <c r="DD116" s="21"/>
      <c r="DE116" s="21"/>
      <c r="DF116" s="21"/>
      <c r="DG116" s="21"/>
      <c r="DH116" s="21"/>
      <c r="DI116" s="21"/>
      <c r="DJ116" s="21"/>
      <c r="DK116" s="21"/>
      <c r="DL116" s="21"/>
      <c r="DM116" s="21"/>
      <c r="DN116" s="21"/>
      <c r="DO116" s="21"/>
      <c r="DP116" s="21"/>
      <c r="DQ116" s="21"/>
      <c r="DR116" s="21"/>
      <c r="DS116" s="21"/>
      <c r="DT116" s="21"/>
      <c r="DU116" s="21"/>
    </row>
    <row r="117" spans="1:125" x14ac:dyDescent="0.2">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c r="AZ117" s="21"/>
      <c r="BA117" s="21"/>
      <c r="BB117" s="21"/>
      <c r="BC117" s="21"/>
      <c r="BD117" s="21"/>
      <c r="BE117" s="21"/>
      <c r="BF117" s="21"/>
      <c r="BG117" s="21"/>
      <c r="BH117" s="21"/>
      <c r="BI117" s="21"/>
      <c r="BJ117" s="21"/>
      <c r="BK117" s="21"/>
      <c r="BL117" s="21"/>
      <c r="BM117" s="21"/>
      <c r="BN117" s="21"/>
      <c r="BO117" s="21"/>
      <c r="BP117" s="21"/>
      <c r="BQ117" s="21"/>
      <c r="BR117" s="21"/>
      <c r="BS117" s="21"/>
      <c r="BT117" s="21"/>
      <c r="BU117" s="21"/>
      <c r="BV117" s="21"/>
      <c r="BW117" s="21"/>
      <c r="BX117" s="21"/>
      <c r="BY117" s="21"/>
      <c r="BZ117" s="21"/>
      <c r="CA117" s="21"/>
      <c r="CB117" s="21"/>
      <c r="CC117" s="21"/>
      <c r="CD117" s="21"/>
      <c r="CE117" s="21"/>
      <c r="CF117" s="21"/>
      <c r="CG117" s="21"/>
      <c r="CH117" s="21"/>
      <c r="CI117" s="21"/>
      <c r="CJ117" s="21"/>
      <c r="CK117" s="21"/>
      <c r="CL117" s="21"/>
      <c r="CM117" s="21"/>
      <c r="CN117" s="21"/>
      <c r="CO117" s="21"/>
      <c r="CP117" s="21"/>
      <c r="CQ117" s="21"/>
      <c r="CR117" s="21"/>
      <c r="CS117" s="21"/>
      <c r="CT117" s="21"/>
      <c r="CU117" s="21"/>
      <c r="CV117" s="21"/>
      <c r="CW117" s="21"/>
      <c r="CX117" s="21"/>
      <c r="CY117" s="21"/>
      <c r="CZ117" s="21"/>
      <c r="DA117" s="21"/>
      <c r="DB117" s="21"/>
      <c r="DC117" s="21"/>
      <c r="DD117" s="21"/>
      <c r="DE117" s="21"/>
      <c r="DF117" s="21"/>
      <c r="DG117" s="21"/>
      <c r="DH117" s="21"/>
      <c r="DI117" s="21"/>
      <c r="DJ117" s="21"/>
      <c r="DK117" s="21"/>
      <c r="DL117" s="21"/>
      <c r="DM117" s="21"/>
      <c r="DN117" s="21"/>
      <c r="DO117" s="21"/>
      <c r="DP117" s="21"/>
      <c r="DQ117" s="21"/>
      <c r="DR117" s="21"/>
      <c r="DS117" s="21"/>
      <c r="DT117" s="21"/>
      <c r="DU117" s="21"/>
    </row>
    <row r="118" spans="1:125" x14ac:dyDescent="0.2">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1"/>
      <c r="BB118" s="21"/>
      <c r="BC118" s="21"/>
      <c r="BD118" s="21"/>
      <c r="BE118" s="21"/>
      <c r="BF118" s="21"/>
      <c r="BG118" s="21"/>
      <c r="BH118" s="21"/>
      <c r="BI118" s="21"/>
      <c r="BJ118" s="21"/>
      <c r="BK118" s="21"/>
      <c r="BL118" s="21"/>
      <c r="BM118" s="21"/>
      <c r="BN118" s="21"/>
      <c r="BO118" s="21"/>
      <c r="BP118" s="21"/>
      <c r="BQ118" s="21"/>
      <c r="BR118" s="21"/>
      <c r="BS118" s="21"/>
      <c r="BT118" s="21"/>
      <c r="BU118" s="21"/>
      <c r="BV118" s="21"/>
      <c r="BW118" s="21"/>
      <c r="BX118" s="21"/>
      <c r="BY118" s="21"/>
      <c r="BZ118" s="21"/>
      <c r="CA118" s="21"/>
      <c r="CB118" s="21"/>
      <c r="CC118" s="21"/>
      <c r="CD118" s="21"/>
      <c r="CE118" s="21"/>
      <c r="CF118" s="21"/>
      <c r="CG118" s="21"/>
      <c r="CH118" s="21"/>
      <c r="CI118" s="21"/>
      <c r="CJ118" s="21"/>
      <c r="CK118" s="21"/>
      <c r="CL118" s="21"/>
      <c r="CM118" s="21"/>
      <c r="CN118" s="21"/>
      <c r="CO118" s="21"/>
      <c r="CP118" s="21"/>
      <c r="CQ118" s="21"/>
      <c r="CR118" s="21"/>
      <c r="CS118" s="21"/>
      <c r="CT118" s="21"/>
      <c r="CU118" s="21"/>
      <c r="CV118" s="21"/>
      <c r="CW118" s="21"/>
      <c r="CX118" s="21"/>
      <c r="CY118" s="21"/>
      <c r="CZ118" s="21"/>
      <c r="DA118" s="21"/>
      <c r="DB118" s="21"/>
      <c r="DC118" s="21"/>
      <c r="DD118" s="21"/>
      <c r="DE118" s="21"/>
      <c r="DF118" s="21"/>
      <c r="DG118" s="21"/>
      <c r="DH118" s="21"/>
      <c r="DI118" s="21"/>
      <c r="DJ118" s="21"/>
      <c r="DK118" s="21"/>
      <c r="DL118" s="21"/>
      <c r="DM118" s="21"/>
      <c r="DN118" s="21"/>
      <c r="DO118" s="21"/>
      <c r="DP118" s="21"/>
      <c r="DQ118" s="21"/>
      <c r="DR118" s="21"/>
      <c r="DS118" s="21"/>
      <c r="DT118" s="21"/>
      <c r="DU118" s="21"/>
    </row>
    <row r="119" spans="1:125" x14ac:dyDescent="0.2">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1"/>
      <c r="BB119" s="21"/>
      <c r="BC119" s="21"/>
      <c r="BD119" s="21"/>
      <c r="BE119" s="21"/>
      <c r="BF119" s="21"/>
      <c r="BG119" s="21"/>
      <c r="BH119" s="21"/>
      <c r="BI119" s="21"/>
      <c r="BJ119" s="21"/>
      <c r="BK119" s="21"/>
      <c r="BL119" s="21"/>
      <c r="BM119" s="21"/>
      <c r="BN119" s="21"/>
      <c r="BO119" s="21"/>
      <c r="BP119" s="21"/>
      <c r="BQ119" s="21"/>
      <c r="BR119" s="21"/>
      <c r="BS119" s="21"/>
      <c r="BT119" s="21"/>
      <c r="BU119" s="21"/>
      <c r="BV119" s="21"/>
      <c r="BW119" s="21"/>
      <c r="BX119" s="21"/>
      <c r="BY119" s="21"/>
      <c r="BZ119" s="21"/>
      <c r="CA119" s="21"/>
      <c r="CB119" s="21"/>
      <c r="CC119" s="21"/>
      <c r="CD119" s="21"/>
      <c r="CE119" s="21"/>
      <c r="CF119" s="21"/>
      <c r="CG119" s="21"/>
      <c r="CH119" s="21"/>
      <c r="CI119" s="21"/>
      <c r="CJ119" s="21"/>
      <c r="CK119" s="21"/>
      <c r="CL119" s="21"/>
      <c r="CM119" s="21"/>
      <c r="CN119" s="21"/>
      <c r="CO119" s="21"/>
      <c r="CP119" s="21"/>
      <c r="CQ119" s="21"/>
      <c r="CR119" s="21"/>
      <c r="CS119" s="21"/>
      <c r="CT119" s="21"/>
      <c r="CU119" s="21"/>
      <c r="CV119" s="21"/>
      <c r="CW119" s="21"/>
      <c r="CX119" s="21"/>
      <c r="CY119" s="21"/>
      <c r="CZ119" s="21"/>
      <c r="DA119" s="21"/>
      <c r="DB119" s="21"/>
      <c r="DC119" s="21"/>
      <c r="DD119" s="21"/>
      <c r="DE119" s="21"/>
      <c r="DF119" s="21"/>
      <c r="DG119" s="21"/>
      <c r="DH119" s="21"/>
      <c r="DI119" s="21"/>
      <c r="DJ119" s="21"/>
      <c r="DK119" s="21"/>
      <c r="DL119" s="21"/>
      <c r="DM119" s="21"/>
      <c r="DN119" s="21"/>
      <c r="DO119" s="21"/>
      <c r="DP119" s="21"/>
      <c r="DQ119" s="21"/>
      <c r="DR119" s="21"/>
      <c r="DS119" s="21"/>
      <c r="DT119" s="21"/>
      <c r="DU119" s="21"/>
    </row>
    <row r="120" spans="1:125" x14ac:dyDescent="0.2">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1"/>
      <c r="BB120" s="21"/>
      <c r="BC120" s="21"/>
      <c r="BD120" s="21"/>
      <c r="BE120" s="21"/>
      <c r="BF120" s="21"/>
      <c r="BG120" s="21"/>
      <c r="BH120" s="21"/>
      <c r="BI120" s="21"/>
      <c r="BJ120" s="21"/>
      <c r="BK120" s="21"/>
      <c r="BL120" s="21"/>
      <c r="BM120" s="21"/>
      <c r="BN120" s="21"/>
      <c r="BO120" s="21"/>
      <c r="BP120" s="21"/>
      <c r="BQ120" s="21"/>
      <c r="BR120" s="21"/>
      <c r="BS120" s="21"/>
      <c r="BT120" s="21"/>
      <c r="BU120" s="21"/>
      <c r="BV120" s="21"/>
      <c r="BW120" s="21"/>
      <c r="BX120" s="21"/>
      <c r="BY120" s="21"/>
      <c r="BZ120" s="21"/>
      <c r="CA120" s="21"/>
      <c r="CB120" s="21"/>
      <c r="CC120" s="21"/>
      <c r="CD120" s="21"/>
      <c r="CE120" s="21"/>
      <c r="CF120" s="21"/>
      <c r="CG120" s="21"/>
      <c r="CH120" s="21"/>
      <c r="CI120" s="21"/>
      <c r="CJ120" s="21"/>
      <c r="CK120" s="21"/>
      <c r="CL120" s="21"/>
      <c r="CM120" s="21"/>
      <c r="CN120" s="21"/>
      <c r="CO120" s="21"/>
      <c r="CP120" s="21"/>
      <c r="CQ120" s="21"/>
      <c r="CR120" s="21"/>
      <c r="CS120" s="21"/>
      <c r="CT120" s="21"/>
      <c r="CU120" s="21"/>
      <c r="CV120" s="21"/>
      <c r="CW120" s="21"/>
      <c r="CX120" s="21"/>
      <c r="CY120" s="21"/>
      <c r="CZ120" s="21"/>
      <c r="DA120" s="21"/>
      <c r="DB120" s="21"/>
      <c r="DC120" s="21"/>
      <c r="DD120" s="21"/>
      <c r="DE120" s="21"/>
      <c r="DF120" s="21"/>
      <c r="DG120" s="21"/>
      <c r="DH120" s="21"/>
      <c r="DI120" s="21"/>
      <c r="DJ120" s="21"/>
      <c r="DK120" s="21"/>
      <c r="DL120" s="21"/>
      <c r="DM120" s="21"/>
      <c r="DN120" s="21"/>
      <c r="DO120" s="21"/>
      <c r="DP120" s="21"/>
      <c r="DQ120" s="21"/>
      <c r="DR120" s="21"/>
      <c r="DS120" s="21"/>
      <c r="DT120" s="21"/>
      <c r="DU120" s="21"/>
    </row>
    <row r="121" spans="1:125" x14ac:dyDescent="0.2">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c r="AZ121" s="21"/>
      <c r="BA121" s="21"/>
      <c r="BB121" s="21"/>
      <c r="BC121" s="21"/>
      <c r="BD121" s="21"/>
      <c r="BE121" s="21"/>
      <c r="BF121" s="21"/>
      <c r="BG121" s="21"/>
      <c r="BH121" s="21"/>
      <c r="BI121" s="21"/>
      <c r="BJ121" s="21"/>
      <c r="BK121" s="21"/>
      <c r="BL121" s="21"/>
      <c r="BM121" s="21"/>
      <c r="BN121" s="21"/>
      <c r="BO121" s="21"/>
      <c r="BP121" s="21"/>
      <c r="BQ121" s="21"/>
      <c r="BR121" s="21"/>
      <c r="BS121" s="21"/>
      <c r="BT121" s="21"/>
      <c r="BU121" s="21"/>
      <c r="BV121" s="21"/>
      <c r="BW121" s="21"/>
      <c r="BX121" s="21"/>
      <c r="BY121" s="21"/>
      <c r="BZ121" s="21"/>
      <c r="CA121" s="21"/>
      <c r="CB121" s="21"/>
      <c r="CC121" s="21"/>
      <c r="CD121" s="21"/>
      <c r="CE121" s="21"/>
      <c r="CF121" s="21"/>
      <c r="CG121" s="21"/>
      <c r="CH121" s="21"/>
      <c r="CI121" s="21"/>
      <c r="CJ121" s="21"/>
      <c r="CK121" s="21"/>
      <c r="CL121" s="21"/>
      <c r="CM121" s="21"/>
      <c r="CN121" s="21"/>
      <c r="CO121" s="21"/>
      <c r="CP121" s="21"/>
      <c r="CQ121" s="21"/>
      <c r="CR121" s="21"/>
      <c r="CS121" s="21"/>
      <c r="CT121" s="21"/>
      <c r="CU121" s="21"/>
      <c r="CV121" s="21"/>
      <c r="CW121" s="21"/>
      <c r="CX121" s="21"/>
      <c r="CY121" s="21"/>
      <c r="CZ121" s="21"/>
      <c r="DA121" s="21"/>
      <c r="DB121" s="21"/>
      <c r="DC121" s="21"/>
      <c r="DD121" s="21"/>
      <c r="DE121" s="21"/>
      <c r="DF121" s="21"/>
      <c r="DG121" s="21"/>
      <c r="DH121" s="21"/>
      <c r="DI121" s="21"/>
      <c r="DJ121" s="21"/>
      <c r="DK121" s="21"/>
      <c r="DL121" s="21"/>
      <c r="DM121" s="21"/>
      <c r="DN121" s="21"/>
      <c r="DO121" s="21"/>
      <c r="DP121" s="21"/>
      <c r="DQ121" s="21"/>
      <c r="DR121" s="21"/>
      <c r="DS121" s="21"/>
      <c r="DT121" s="21"/>
      <c r="DU121" s="21"/>
    </row>
    <row r="122" spans="1:125" x14ac:dyDescent="0.2">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c r="AZ122" s="21"/>
      <c r="BA122" s="21"/>
      <c r="BB122" s="21"/>
      <c r="BC122" s="21"/>
      <c r="BD122" s="21"/>
      <c r="BE122" s="21"/>
      <c r="BF122" s="21"/>
      <c r="BG122" s="21"/>
      <c r="BH122" s="21"/>
      <c r="BI122" s="21"/>
      <c r="BJ122" s="21"/>
      <c r="BK122" s="21"/>
      <c r="BL122" s="21"/>
      <c r="BM122" s="21"/>
      <c r="BN122" s="21"/>
      <c r="BO122" s="21"/>
      <c r="BP122" s="21"/>
      <c r="BQ122" s="21"/>
      <c r="BR122" s="21"/>
      <c r="BS122" s="21"/>
      <c r="BT122" s="21"/>
      <c r="BU122" s="21"/>
      <c r="BV122" s="21"/>
      <c r="BW122" s="21"/>
      <c r="BX122" s="21"/>
      <c r="BY122" s="21"/>
      <c r="BZ122" s="21"/>
      <c r="CA122" s="21"/>
      <c r="CB122" s="21"/>
      <c r="CC122" s="21"/>
      <c r="CD122" s="21"/>
      <c r="CE122" s="21"/>
      <c r="CF122" s="21"/>
      <c r="CG122" s="21"/>
      <c r="CH122" s="21"/>
      <c r="CI122" s="21"/>
      <c r="CJ122" s="21"/>
      <c r="CK122" s="21"/>
      <c r="CL122" s="21"/>
      <c r="CM122" s="21"/>
      <c r="CN122" s="21"/>
      <c r="CO122" s="21"/>
      <c r="CP122" s="21"/>
      <c r="CQ122" s="21"/>
      <c r="CR122" s="21"/>
      <c r="CS122" s="21"/>
      <c r="CT122" s="21"/>
      <c r="CU122" s="21"/>
      <c r="CV122" s="21"/>
      <c r="CW122" s="21"/>
      <c r="CX122" s="21"/>
      <c r="CY122" s="21"/>
      <c r="CZ122" s="21"/>
      <c r="DA122" s="21"/>
      <c r="DB122" s="21"/>
      <c r="DC122" s="21"/>
      <c r="DD122" s="21"/>
      <c r="DE122" s="21"/>
      <c r="DF122" s="21"/>
      <c r="DG122" s="21"/>
      <c r="DH122" s="21"/>
      <c r="DI122" s="21"/>
      <c r="DJ122" s="21"/>
      <c r="DK122" s="21"/>
      <c r="DL122" s="21"/>
      <c r="DM122" s="21"/>
      <c r="DN122" s="21"/>
      <c r="DO122" s="21"/>
      <c r="DP122" s="21"/>
      <c r="DQ122" s="21"/>
      <c r="DR122" s="21"/>
      <c r="DS122" s="21"/>
      <c r="DT122" s="21"/>
      <c r="DU122" s="21"/>
    </row>
    <row r="123" spans="1:125" x14ac:dyDescent="0.2">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c r="AZ123" s="21"/>
      <c r="BA123" s="21"/>
      <c r="BB123" s="21"/>
      <c r="BC123" s="21"/>
      <c r="BD123" s="21"/>
      <c r="BE123" s="21"/>
      <c r="BF123" s="21"/>
      <c r="BG123" s="21"/>
      <c r="BH123" s="21"/>
      <c r="BI123" s="21"/>
      <c r="BJ123" s="21"/>
      <c r="BK123" s="21"/>
      <c r="BL123" s="21"/>
      <c r="BM123" s="21"/>
      <c r="BN123" s="21"/>
      <c r="BO123" s="21"/>
      <c r="BP123" s="21"/>
      <c r="BQ123" s="21"/>
      <c r="BR123" s="21"/>
      <c r="BS123" s="21"/>
      <c r="BT123" s="21"/>
      <c r="BU123" s="21"/>
      <c r="BV123" s="21"/>
      <c r="BW123" s="21"/>
      <c r="BX123" s="21"/>
      <c r="BY123" s="21"/>
      <c r="BZ123" s="21"/>
      <c r="CA123" s="21"/>
      <c r="CB123" s="21"/>
      <c r="CC123" s="21"/>
      <c r="CD123" s="21"/>
      <c r="CE123" s="21"/>
      <c r="CF123" s="21"/>
      <c r="CG123" s="21"/>
      <c r="CH123" s="21"/>
      <c r="CI123" s="21"/>
      <c r="CJ123" s="21"/>
      <c r="CK123" s="21"/>
      <c r="CL123" s="21"/>
      <c r="CM123" s="21"/>
      <c r="CN123" s="21"/>
      <c r="CO123" s="21"/>
      <c r="CP123" s="21"/>
      <c r="CQ123" s="21"/>
      <c r="CR123" s="21"/>
      <c r="CS123" s="21"/>
      <c r="CT123" s="21"/>
      <c r="CU123" s="21"/>
      <c r="CV123" s="21"/>
      <c r="CW123" s="21"/>
      <c r="CX123" s="21"/>
      <c r="CY123" s="21"/>
      <c r="CZ123" s="21"/>
      <c r="DA123" s="21"/>
      <c r="DB123" s="21"/>
      <c r="DC123" s="21"/>
      <c r="DD123" s="21"/>
      <c r="DE123" s="21"/>
      <c r="DF123" s="21"/>
      <c r="DG123" s="21"/>
      <c r="DH123" s="21"/>
      <c r="DI123" s="21"/>
      <c r="DJ123" s="21"/>
      <c r="DK123" s="21"/>
      <c r="DL123" s="21"/>
      <c r="DM123" s="21"/>
      <c r="DN123" s="21"/>
      <c r="DO123" s="21"/>
      <c r="DP123" s="21"/>
      <c r="DQ123" s="21"/>
      <c r="DR123" s="21"/>
      <c r="DS123" s="21"/>
      <c r="DT123" s="21"/>
      <c r="DU123" s="21"/>
    </row>
    <row r="124" spans="1:125" x14ac:dyDescent="0.2">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c r="AZ124" s="21"/>
      <c r="BA124" s="21"/>
      <c r="BB124" s="21"/>
      <c r="BC124" s="21"/>
      <c r="BD124" s="21"/>
      <c r="BE124" s="21"/>
      <c r="BF124" s="21"/>
      <c r="BG124" s="21"/>
      <c r="BH124" s="21"/>
      <c r="BI124" s="21"/>
      <c r="BJ124" s="21"/>
      <c r="BK124" s="21"/>
      <c r="BL124" s="21"/>
      <c r="BM124" s="21"/>
      <c r="BN124" s="21"/>
      <c r="BO124" s="21"/>
      <c r="BP124" s="21"/>
      <c r="BQ124" s="21"/>
      <c r="BR124" s="21"/>
      <c r="BS124" s="21"/>
      <c r="BT124" s="21"/>
      <c r="BU124" s="21"/>
      <c r="BV124" s="21"/>
      <c r="BW124" s="21"/>
      <c r="BX124" s="21"/>
      <c r="BY124" s="21"/>
      <c r="BZ124" s="21"/>
      <c r="CA124" s="21"/>
      <c r="CB124" s="21"/>
      <c r="CC124" s="21"/>
      <c r="CD124" s="21"/>
      <c r="CE124" s="21"/>
      <c r="CF124" s="21"/>
      <c r="CG124" s="21"/>
      <c r="CH124" s="21"/>
      <c r="CI124" s="21"/>
      <c r="CJ124" s="21"/>
      <c r="CK124" s="21"/>
      <c r="CL124" s="21"/>
      <c r="CM124" s="21"/>
      <c r="CN124" s="21"/>
      <c r="CO124" s="21"/>
      <c r="CP124" s="21"/>
      <c r="CQ124" s="21"/>
      <c r="CR124" s="21"/>
      <c r="CS124" s="21"/>
      <c r="CT124" s="21"/>
      <c r="CU124" s="21"/>
      <c r="CV124" s="21"/>
      <c r="CW124" s="21"/>
      <c r="CX124" s="21"/>
      <c r="CY124" s="21"/>
      <c r="CZ124" s="21"/>
      <c r="DA124" s="21"/>
      <c r="DB124" s="21"/>
      <c r="DC124" s="21"/>
      <c r="DD124" s="21"/>
      <c r="DE124" s="21"/>
      <c r="DF124" s="21"/>
      <c r="DG124" s="21"/>
      <c r="DH124" s="21"/>
      <c r="DI124" s="21"/>
      <c r="DJ124" s="21"/>
      <c r="DK124" s="21"/>
      <c r="DL124" s="21"/>
      <c r="DM124" s="21"/>
      <c r="DN124" s="21"/>
      <c r="DO124" s="21"/>
      <c r="DP124" s="21"/>
      <c r="DQ124" s="21"/>
      <c r="DR124" s="21"/>
      <c r="DS124" s="21"/>
      <c r="DT124" s="21"/>
      <c r="DU124" s="21"/>
    </row>
    <row r="125" spans="1:125" x14ac:dyDescent="0.2">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c r="AZ125" s="21"/>
      <c r="BA125" s="21"/>
      <c r="BB125" s="21"/>
      <c r="BC125" s="21"/>
      <c r="BD125" s="21"/>
      <c r="BE125" s="21"/>
      <c r="BF125" s="21"/>
      <c r="BG125" s="21"/>
      <c r="BH125" s="21"/>
      <c r="BI125" s="21"/>
      <c r="BJ125" s="21"/>
      <c r="BK125" s="21"/>
      <c r="BL125" s="21"/>
      <c r="BM125" s="21"/>
      <c r="BN125" s="21"/>
      <c r="BO125" s="21"/>
      <c r="BP125" s="21"/>
      <c r="BQ125" s="21"/>
      <c r="BR125" s="21"/>
      <c r="BS125" s="21"/>
      <c r="BT125" s="21"/>
      <c r="BU125" s="21"/>
      <c r="BV125" s="21"/>
      <c r="BW125" s="21"/>
      <c r="BX125" s="21"/>
      <c r="BY125" s="21"/>
      <c r="BZ125" s="21"/>
      <c r="CA125" s="21"/>
      <c r="CB125" s="21"/>
      <c r="CC125" s="21"/>
      <c r="CD125" s="21"/>
      <c r="CE125" s="21"/>
      <c r="CF125" s="21"/>
      <c r="CG125" s="21"/>
      <c r="CH125" s="21"/>
      <c r="CI125" s="21"/>
      <c r="CJ125" s="21"/>
      <c r="CK125" s="21"/>
      <c r="CL125" s="21"/>
      <c r="CM125" s="21"/>
      <c r="CN125" s="21"/>
      <c r="CO125" s="21"/>
      <c r="CP125" s="21"/>
      <c r="CQ125" s="21"/>
      <c r="CR125" s="21"/>
      <c r="CS125" s="21"/>
      <c r="CT125" s="21"/>
      <c r="CU125" s="21"/>
      <c r="CV125" s="21"/>
      <c r="CW125" s="21"/>
      <c r="CX125" s="21"/>
      <c r="CY125" s="21"/>
      <c r="CZ125" s="21"/>
      <c r="DA125" s="21"/>
      <c r="DB125" s="21"/>
      <c r="DC125" s="21"/>
      <c r="DD125" s="21"/>
      <c r="DE125" s="21"/>
      <c r="DF125" s="21"/>
      <c r="DG125" s="21"/>
      <c r="DH125" s="21"/>
      <c r="DI125" s="21"/>
      <c r="DJ125" s="21"/>
      <c r="DK125" s="21"/>
      <c r="DL125" s="21"/>
      <c r="DM125" s="21"/>
      <c r="DN125" s="21"/>
      <c r="DO125" s="21"/>
      <c r="DP125" s="21"/>
      <c r="DQ125" s="21"/>
      <c r="DR125" s="21"/>
      <c r="DS125" s="21"/>
      <c r="DT125" s="21"/>
      <c r="DU125" s="21"/>
    </row>
    <row r="126" spans="1:125" x14ac:dyDescent="0.2">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c r="AZ126" s="21"/>
      <c r="BA126" s="21"/>
      <c r="BB126" s="21"/>
      <c r="BC126" s="21"/>
      <c r="BD126" s="21"/>
      <c r="BE126" s="21"/>
      <c r="BF126" s="21"/>
      <c r="BG126" s="21"/>
      <c r="BH126" s="21"/>
      <c r="BI126" s="21"/>
      <c r="BJ126" s="21"/>
      <c r="BK126" s="21"/>
      <c r="BL126" s="21"/>
      <c r="BM126" s="21"/>
      <c r="BN126" s="21"/>
      <c r="BO126" s="21"/>
      <c r="BP126" s="21"/>
      <c r="BQ126" s="21"/>
      <c r="BR126" s="21"/>
      <c r="BS126" s="21"/>
      <c r="BT126" s="21"/>
      <c r="BU126" s="21"/>
      <c r="BV126" s="21"/>
      <c r="BW126" s="21"/>
      <c r="BX126" s="21"/>
      <c r="BY126" s="21"/>
      <c r="BZ126" s="21"/>
      <c r="CA126" s="21"/>
      <c r="CB126" s="21"/>
      <c r="CC126" s="21"/>
      <c r="CD126" s="21"/>
      <c r="CE126" s="21"/>
      <c r="CF126" s="21"/>
      <c r="CG126" s="21"/>
      <c r="CH126" s="21"/>
      <c r="CI126" s="21"/>
      <c r="CJ126" s="21"/>
      <c r="CK126" s="21"/>
      <c r="CL126" s="21"/>
      <c r="CM126" s="21"/>
      <c r="CN126" s="21"/>
      <c r="CO126" s="21"/>
      <c r="CP126" s="21"/>
      <c r="CQ126" s="21"/>
      <c r="CR126" s="21"/>
      <c r="CS126" s="21"/>
      <c r="CT126" s="21"/>
      <c r="CU126" s="21"/>
      <c r="CV126" s="21"/>
      <c r="CW126" s="21"/>
      <c r="CX126" s="21"/>
      <c r="CY126" s="21"/>
      <c r="CZ126" s="21"/>
      <c r="DA126" s="21"/>
      <c r="DB126" s="21"/>
      <c r="DC126" s="21"/>
      <c r="DD126" s="21"/>
      <c r="DE126" s="21"/>
      <c r="DF126" s="21"/>
      <c r="DG126" s="21"/>
      <c r="DH126" s="21"/>
      <c r="DI126" s="21"/>
      <c r="DJ126" s="21"/>
      <c r="DK126" s="21"/>
      <c r="DL126" s="21"/>
      <c r="DM126" s="21"/>
      <c r="DN126" s="21"/>
      <c r="DO126" s="21"/>
      <c r="DP126" s="21"/>
      <c r="DQ126" s="21"/>
      <c r="DR126" s="21"/>
      <c r="DS126" s="21"/>
      <c r="DT126" s="21"/>
      <c r="DU126" s="21"/>
    </row>
    <row r="127" spans="1:125" x14ac:dyDescent="0.2">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1"/>
      <c r="BB127" s="21"/>
      <c r="BC127" s="21"/>
      <c r="BD127" s="21"/>
      <c r="BE127" s="21"/>
      <c r="BF127" s="21"/>
      <c r="BG127" s="21"/>
      <c r="BH127" s="21"/>
      <c r="BI127" s="21"/>
      <c r="BJ127" s="21"/>
      <c r="BK127" s="21"/>
      <c r="BL127" s="21"/>
      <c r="BM127" s="21"/>
      <c r="BN127" s="21"/>
      <c r="BO127" s="21"/>
      <c r="BP127" s="21"/>
      <c r="BQ127" s="21"/>
      <c r="BR127" s="21"/>
      <c r="BS127" s="21"/>
      <c r="BT127" s="21"/>
      <c r="BU127" s="21"/>
      <c r="BV127" s="21"/>
      <c r="BW127" s="21"/>
      <c r="BX127" s="21"/>
      <c r="BY127" s="21"/>
      <c r="BZ127" s="21"/>
      <c r="CA127" s="21"/>
      <c r="CB127" s="21"/>
      <c r="CC127" s="21"/>
      <c r="CD127" s="21"/>
      <c r="CE127" s="21"/>
      <c r="CF127" s="21"/>
      <c r="CG127" s="21"/>
      <c r="CH127" s="21"/>
      <c r="CI127" s="21"/>
      <c r="CJ127" s="21"/>
      <c r="CK127" s="21"/>
      <c r="CL127" s="21"/>
      <c r="CM127" s="21"/>
      <c r="CN127" s="21"/>
      <c r="CO127" s="21"/>
      <c r="CP127" s="21"/>
      <c r="CQ127" s="21"/>
      <c r="CR127" s="21"/>
      <c r="CS127" s="21"/>
      <c r="CT127" s="21"/>
      <c r="CU127" s="21"/>
      <c r="CV127" s="21"/>
      <c r="CW127" s="21"/>
      <c r="CX127" s="21"/>
      <c r="CY127" s="21"/>
      <c r="CZ127" s="21"/>
      <c r="DA127" s="21"/>
      <c r="DB127" s="21"/>
      <c r="DC127" s="21"/>
      <c r="DD127" s="21"/>
      <c r="DE127" s="21"/>
      <c r="DF127" s="21"/>
      <c r="DG127" s="21"/>
      <c r="DH127" s="21"/>
      <c r="DI127" s="21"/>
      <c r="DJ127" s="21"/>
      <c r="DK127" s="21"/>
      <c r="DL127" s="21"/>
      <c r="DM127" s="21"/>
      <c r="DN127" s="21"/>
      <c r="DO127" s="21"/>
      <c r="DP127" s="21"/>
      <c r="DQ127" s="21"/>
      <c r="DR127" s="21"/>
      <c r="DS127" s="21"/>
      <c r="DT127" s="21"/>
      <c r="DU127" s="21"/>
    </row>
    <row r="128" spans="1:125" x14ac:dyDescent="0.2">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c r="AZ128" s="21"/>
      <c r="BA128" s="21"/>
      <c r="BB128" s="21"/>
      <c r="BC128" s="21"/>
      <c r="BD128" s="21"/>
      <c r="BE128" s="21"/>
      <c r="BF128" s="21"/>
      <c r="BG128" s="21"/>
      <c r="BH128" s="21"/>
      <c r="BI128" s="21"/>
      <c r="BJ128" s="21"/>
      <c r="BK128" s="21"/>
      <c r="BL128" s="21"/>
      <c r="BM128" s="21"/>
      <c r="BN128" s="21"/>
      <c r="BO128" s="21"/>
      <c r="BP128" s="21"/>
      <c r="BQ128" s="21"/>
      <c r="BR128" s="21"/>
      <c r="BS128" s="21"/>
      <c r="BT128" s="21"/>
      <c r="BU128" s="21"/>
      <c r="BV128" s="21"/>
      <c r="BW128" s="21"/>
      <c r="BX128" s="21"/>
      <c r="BY128" s="21"/>
      <c r="BZ128" s="21"/>
      <c r="CA128" s="21"/>
      <c r="CB128" s="21"/>
      <c r="CC128" s="21"/>
      <c r="CD128" s="21"/>
      <c r="CE128" s="21"/>
      <c r="CF128" s="21"/>
      <c r="CG128" s="21"/>
      <c r="CH128" s="21"/>
      <c r="CI128" s="21"/>
      <c r="CJ128" s="21"/>
      <c r="CK128" s="21"/>
      <c r="CL128" s="21"/>
      <c r="CM128" s="21"/>
      <c r="CN128" s="21"/>
      <c r="CO128" s="21"/>
      <c r="CP128" s="21"/>
      <c r="CQ128" s="21"/>
      <c r="CR128" s="21"/>
      <c r="CS128" s="21"/>
      <c r="CT128" s="21"/>
      <c r="CU128" s="21"/>
      <c r="CV128" s="21"/>
      <c r="CW128" s="21"/>
      <c r="CX128" s="21"/>
      <c r="CY128" s="21"/>
      <c r="CZ128" s="21"/>
      <c r="DA128" s="21"/>
      <c r="DB128" s="21"/>
      <c r="DC128" s="21"/>
      <c r="DD128" s="21"/>
      <c r="DE128" s="21"/>
      <c r="DF128" s="21"/>
      <c r="DG128" s="21"/>
      <c r="DH128" s="21"/>
      <c r="DI128" s="21"/>
      <c r="DJ128" s="21"/>
      <c r="DK128" s="21"/>
      <c r="DL128" s="21"/>
      <c r="DM128" s="21"/>
      <c r="DN128" s="21"/>
      <c r="DO128" s="21"/>
      <c r="DP128" s="21"/>
      <c r="DQ128" s="21"/>
      <c r="DR128" s="21"/>
      <c r="DS128" s="21"/>
      <c r="DT128" s="21"/>
      <c r="DU128" s="21"/>
    </row>
    <row r="129" spans="1:125" x14ac:dyDescent="0.2">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c r="AZ129" s="21"/>
      <c r="BA129" s="21"/>
      <c r="BB129" s="21"/>
      <c r="BC129" s="21"/>
      <c r="BD129" s="21"/>
      <c r="BE129" s="21"/>
      <c r="BF129" s="21"/>
      <c r="BG129" s="21"/>
      <c r="BH129" s="21"/>
      <c r="BI129" s="21"/>
      <c r="BJ129" s="21"/>
      <c r="BK129" s="21"/>
      <c r="BL129" s="21"/>
      <c r="BM129" s="21"/>
      <c r="BN129" s="21"/>
      <c r="BO129" s="21"/>
      <c r="BP129" s="21"/>
      <c r="BQ129" s="21"/>
      <c r="BR129" s="21"/>
      <c r="BS129" s="21"/>
      <c r="BT129" s="21"/>
      <c r="BU129" s="21"/>
      <c r="BV129" s="21"/>
      <c r="BW129" s="21"/>
      <c r="BX129" s="21"/>
      <c r="BY129" s="21"/>
      <c r="BZ129" s="21"/>
      <c r="CA129" s="21"/>
      <c r="CB129" s="21"/>
      <c r="CC129" s="21"/>
      <c r="CD129" s="21"/>
      <c r="CE129" s="21"/>
      <c r="CF129" s="21"/>
      <c r="CG129" s="21"/>
      <c r="CH129" s="21"/>
      <c r="CI129" s="21"/>
      <c r="CJ129" s="21"/>
      <c r="CK129" s="21"/>
      <c r="CL129" s="21"/>
      <c r="CM129" s="21"/>
      <c r="CN129" s="21"/>
      <c r="CO129" s="21"/>
      <c r="CP129" s="21"/>
      <c r="CQ129" s="21"/>
      <c r="CR129" s="21"/>
      <c r="CS129" s="21"/>
      <c r="CT129" s="21"/>
      <c r="CU129" s="21"/>
      <c r="CV129" s="21"/>
      <c r="CW129" s="21"/>
      <c r="CX129" s="21"/>
      <c r="CY129" s="21"/>
      <c r="CZ129" s="21"/>
      <c r="DA129" s="21"/>
      <c r="DB129" s="21"/>
      <c r="DC129" s="21"/>
      <c r="DD129" s="21"/>
      <c r="DE129" s="21"/>
      <c r="DF129" s="21"/>
      <c r="DG129" s="21"/>
      <c r="DH129" s="21"/>
      <c r="DI129" s="21"/>
      <c r="DJ129" s="21"/>
      <c r="DK129" s="21"/>
      <c r="DL129" s="21"/>
      <c r="DM129" s="21"/>
      <c r="DN129" s="21"/>
      <c r="DO129" s="21"/>
      <c r="DP129" s="21"/>
      <c r="DQ129" s="21"/>
      <c r="DR129" s="21"/>
      <c r="DS129" s="21"/>
      <c r="DT129" s="21"/>
      <c r="DU129" s="21"/>
    </row>
    <row r="130" spans="1:125" x14ac:dyDescent="0.2">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c r="AZ130" s="21"/>
      <c r="BA130" s="21"/>
      <c r="BB130" s="21"/>
      <c r="BC130" s="21"/>
      <c r="BD130" s="21"/>
      <c r="BE130" s="21"/>
      <c r="BF130" s="21"/>
      <c r="BG130" s="21"/>
      <c r="BH130" s="21"/>
      <c r="BI130" s="21"/>
      <c r="BJ130" s="21"/>
      <c r="BK130" s="21"/>
      <c r="BL130" s="21"/>
      <c r="BM130" s="21"/>
      <c r="BN130" s="21"/>
      <c r="BO130" s="21"/>
      <c r="BP130" s="21"/>
      <c r="BQ130" s="21"/>
      <c r="BR130" s="21"/>
      <c r="BS130" s="21"/>
      <c r="BT130" s="21"/>
      <c r="BU130" s="21"/>
      <c r="BV130" s="21"/>
      <c r="BW130" s="21"/>
      <c r="BX130" s="21"/>
      <c r="BY130" s="21"/>
      <c r="BZ130" s="21"/>
      <c r="CA130" s="21"/>
      <c r="CB130" s="21"/>
      <c r="CC130" s="21"/>
      <c r="CD130" s="21"/>
      <c r="CE130" s="21"/>
      <c r="CF130" s="21"/>
      <c r="CG130" s="21"/>
      <c r="CH130" s="21"/>
      <c r="CI130" s="21"/>
      <c r="CJ130" s="21"/>
      <c r="CK130" s="21"/>
      <c r="CL130" s="21"/>
      <c r="CM130" s="21"/>
      <c r="CN130" s="21"/>
      <c r="CO130" s="21"/>
      <c r="CP130" s="21"/>
      <c r="CQ130" s="21"/>
      <c r="CR130" s="21"/>
      <c r="CS130" s="21"/>
      <c r="CT130" s="21"/>
      <c r="CU130" s="21"/>
      <c r="CV130" s="21"/>
      <c r="CW130" s="21"/>
      <c r="CX130" s="21"/>
      <c r="CY130" s="21"/>
      <c r="CZ130" s="21"/>
      <c r="DA130" s="21"/>
      <c r="DB130" s="21"/>
      <c r="DC130" s="21"/>
      <c r="DD130" s="21"/>
      <c r="DE130" s="21"/>
      <c r="DF130" s="21"/>
      <c r="DG130" s="21"/>
      <c r="DH130" s="21"/>
      <c r="DI130" s="21"/>
      <c r="DJ130" s="21"/>
      <c r="DK130" s="21"/>
      <c r="DL130" s="21"/>
      <c r="DM130" s="21"/>
      <c r="DN130" s="21"/>
      <c r="DO130" s="21"/>
      <c r="DP130" s="21"/>
      <c r="DQ130" s="21"/>
      <c r="DR130" s="21"/>
      <c r="DS130" s="21"/>
      <c r="DT130" s="21"/>
      <c r="DU130" s="21"/>
    </row>
    <row r="131" spans="1:125" x14ac:dyDescent="0.2">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c r="AZ131" s="21"/>
      <c r="BA131" s="21"/>
      <c r="BB131" s="21"/>
      <c r="BC131" s="21"/>
      <c r="BD131" s="21"/>
      <c r="BE131" s="21"/>
      <c r="BF131" s="21"/>
      <c r="BG131" s="21"/>
      <c r="BH131" s="21"/>
      <c r="BI131" s="21"/>
      <c r="BJ131" s="21"/>
      <c r="BK131" s="21"/>
      <c r="BL131" s="21"/>
      <c r="BM131" s="21"/>
      <c r="BN131" s="21"/>
      <c r="BO131" s="21"/>
      <c r="BP131" s="21"/>
      <c r="BQ131" s="21"/>
      <c r="BR131" s="21"/>
      <c r="BS131" s="21"/>
      <c r="BT131" s="21"/>
      <c r="BU131" s="21"/>
      <c r="BV131" s="21"/>
      <c r="BW131" s="21"/>
      <c r="BX131" s="21"/>
      <c r="BY131" s="21"/>
      <c r="BZ131" s="21"/>
      <c r="CA131" s="21"/>
      <c r="CB131" s="21"/>
      <c r="CC131" s="21"/>
      <c r="CD131" s="21"/>
      <c r="CE131" s="21"/>
      <c r="CF131" s="21"/>
      <c r="CG131" s="21"/>
      <c r="CH131" s="21"/>
      <c r="CI131" s="21"/>
      <c r="CJ131" s="21"/>
      <c r="CK131" s="21"/>
      <c r="CL131" s="21"/>
      <c r="CM131" s="21"/>
      <c r="CN131" s="21"/>
      <c r="CO131" s="21"/>
      <c r="CP131" s="21"/>
      <c r="CQ131" s="21"/>
      <c r="CR131" s="21"/>
      <c r="CS131" s="21"/>
      <c r="CT131" s="21"/>
      <c r="CU131" s="21"/>
      <c r="CV131" s="21"/>
      <c r="CW131" s="21"/>
      <c r="CX131" s="21"/>
      <c r="CY131" s="21"/>
      <c r="CZ131" s="21"/>
      <c r="DA131" s="21"/>
      <c r="DB131" s="21"/>
      <c r="DC131" s="21"/>
      <c r="DD131" s="21"/>
      <c r="DE131" s="21"/>
      <c r="DF131" s="21"/>
      <c r="DG131" s="21"/>
      <c r="DH131" s="21"/>
      <c r="DI131" s="21"/>
      <c r="DJ131" s="21"/>
      <c r="DK131" s="21"/>
      <c r="DL131" s="21"/>
      <c r="DM131" s="21"/>
      <c r="DN131" s="21"/>
      <c r="DO131" s="21"/>
      <c r="DP131" s="21"/>
      <c r="DQ131" s="21"/>
      <c r="DR131" s="21"/>
      <c r="DS131" s="21"/>
      <c r="DT131" s="21"/>
      <c r="DU131" s="21"/>
    </row>
    <row r="132" spans="1:125" x14ac:dyDescent="0.2">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c r="BB132" s="21"/>
      <c r="BC132" s="21"/>
      <c r="BD132" s="21"/>
      <c r="BE132" s="21"/>
      <c r="BF132" s="21"/>
      <c r="BG132" s="21"/>
      <c r="BH132" s="21"/>
      <c r="BI132" s="21"/>
      <c r="BJ132" s="21"/>
      <c r="BK132" s="21"/>
      <c r="BL132" s="21"/>
      <c r="BM132" s="21"/>
      <c r="BN132" s="21"/>
      <c r="BO132" s="21"/>
      <c r="BP132" s="21"/>
      <c r="BQ132" s="21"/>
      <c r="BR132" s="21"/>
      <c r="BS132" s="21"/>
      <c r="BT132" s="21"/>
      <c r="BU132" s="21"/>
      <c r="BV132" s="21"/>
      <c r="BW132" s="21"/>
      <c r="BX132" s="21"/>
      <c r="BY132" s="21"/>
      <c r="BZ132" s="21"/>
      <c r="CA132" s="21"/>
      <c r="CB132" s="21"/>
      <c r="CC132" s="21"/>
      <c r="CD132" s="21"/>
      <c r="CE132" s="21"/>
      <c r="CF132" s="21"/>
      <c r="CG132" s="21"/>
      <c r="CH132" s="21"/>
      <c r="CI132" s="21"/>
      <c r="CJ132" s="21"/>
      <c r="CK132" s="21"/>
      <c r="CL132" s="21"/>
      <c r="CM132" s="21"/>
      <c r="CN132" s="21"/>
      <c r="CO132" s="21"/>
      <c r="CP132" s="21"/>
      <c r="CQ132" s="21"/>
      <c r="CR132" s="21"/>
      <c r="CS132" s="21"/>
      <c r="CT132" s="21"/>
      <c r="CU132" s="21"/>
      <c r="CV132" s="21"/>
      <c r="CW132" s="21"/>
      <c r="CX132" s="21"/>
      <c r="CY132" s="21"/>
      <c r="CZ132" s="21"/>
      <c r="DA132" s="21"/>
      <c r="DB132" s="21"/>
      <c r="DC132" s="21"/>
      <c r="DD132" s="21"/>
      <c r="DE132" s="21"/>
      <c r="DF132" s="21"/>
      <c r="DG132" s="21"/>
      <c r="DH132" s="21"/>
      <c r="DI132" s="21"/>
      <c r="DJ132" s="21"/>
      <c r="DK132" s="21"/>
      <c r="DL132" s="21"/>
      <c r="DM132" s="21"/>
      <c r="DN132" s="21"/>
      <c r="DO132" s="21"/>
      <c r="DP132" s="21"/>
      <c r="DQ132" s="21"/>
      <c r="DR132" s="21"/>
      <c r="DS132" s="21"/>
      <c r="DT132" s="21"/>
      <c r="DU132" s="21"/>
    </row>
    <row r="133" spans="1:125" x14ac:dyDescent="0.2">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c r="AZ133" s="21"/>
      <c r="BA133" s="21"/>
      <c r="BB133" s="21"/>
      <c r="BC133" s="21"/>
      <c r="BD133" s="21"/>
      <c r="BE133" s="21"/>
      <c r="BF133" s="21"/>
      <c r="BG133" s="21"/>
      <c r="BH133" s="21"/>
      <c r="BI133" s="21"/>
      <c r="BJ133" s="21"/>
      <c r="BK133" s="21"/>
      <c r="BL133" s="21"/>
      <c r="BM133" s="21"/>
      <c r="BN133" s="21"/>
      <c r="BO133" s="21"/>
      <c r="BP133" s="21"/>
      <c r="BQ133" s="21"/>
      <c r="BR133" s="21"/>
      <c r="BS133" s="21"/>
      <c r="BT133" s="21"/>
      <c r="BU133" s="21"/>
      <c r="BV133" s="21"/>
      <c r="BW133" s="21"/>
      <c r="BX133" s="21"/>
      <c r="BY133" s="21"/>
      <c r="BZ133" s="21"/>
      <c r="CA133" s="21"/>
      <c r="CB133" s="21"/>
      <c r="CC133" s="21"/>
      <c r="CD133" s="21"/>
      <c r="CE133" s="21"/>
      <c r="CF133" s="21"/>
      <c r="CG133" s="21"/>
      <c r="CH133" s="21"/>
      <c r="CI133" s="21"/>
      <c r="CJ133" s="21"/>
      <c r="CK133" s="21"/>
      <c r="CL133" s="21"/>
      <c r="CM133" s="21"/>
      <c r="CN133" s="21"/>
      <c r="CO133" s="21"/>
      <c r="CP133" s="21"/>
      <c r="CQ133" s="21"/>
      <c r="CR133" s="21"/>
      <c r="CS133" s="21"/>
      <c r="CT133" s="21"/>
      <c r="CU133" s="21"/>
      <c r="CV133" s="21"/>
      <c r="CW133" s="21"/>
      <c r="CX133" s="21"/>
      <c r="CY133" s="21"/>
      <c r="CZ133" s="21"/>
      <c r="DA133" s="21"/>
      <c r="DB133" s="21"/>
      <c r="DC133" s="21"/>
      <c r="DD133" s="21"/>
      <c r="DE133" s="21"/>
      <c r="DF133" s="21"/>
      <c r="DG133" s="21"/>
      <c r="DH133" s="21"/>
      <c r="DI133" s="21"/>
      <c r="DJ133" s="21"/>
      <c r="DK133" s="21"/>
      <c r="DL133" s="21"/>
      <c r="DM133" s="21"/>
      <c r="DN133" s="21"/>
      <c r="DO133" s="21"/>
      <c r="DP133" s="21"/>
      <c r="DQ133" s="21"/>
      <c r="DR133" s="21"/>
      <c r="DS133" s="21"/>
      <c r="DT133" s="21"/>
      <c r="DU133" s="21"/>
    </row>
    <row r="134" spans="1:125" x14ac:dyDescent="0.2">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c r="BM134" s="21"/>
      <c r="BN134" s="21"/>
      <c r="BO134" s="21"/>
      <c r="BP134" s="21"/>
      <c r="BQ134" s="21"/>
      <c r="BR134" s="21"/>
      <c r="BS134" s="21"/>
      <c r="BT134" s="21"/>
      <c r="BU134" s="21"/>
      <c r="BV134" s="21"/>
      <c r="BW134" s="21"/>
      <c r="BX134" s="21"/>
      <c r="BY134" s="21"/>
      <c r="BZ134" s="21"/>
      <c r="CA134" s="21"/>
      <c r="CB134" s="21"/>
      <c r="CC134" s="21"/>
      <c r="CD134" s="21"/>
      <c r="CE134" s="21"/>
      <c r="CF134" s="21"/>
      <c r="CG134" s="21"/>
      <c r="CH134" s="21"/>
      <c r="CI134" s="21"/>
      <c r="CJ134" s="21"/>
      <c r="CK134" s="21"/>
      <c r="CL134" s="21"/>
      <c r="CM134" s="21"/>
      <c r="CN134" s="21"/>
      <c r="CO134" s="21"/>
      <c r="CP134" s="21"/>
      <c r="CQ134" s="21"/>
      <c r="CR134" s="21"/>
      <c r="CS134" s="21"/>
      <c r="CT134" s="21"/>
      <c r="CU134" s="21"/>
      <c r="CV134" s="21"/>
      <c r="CW134" s="21"/>
      <c r="CX134" s="21"/>
      <c r="CY134" s="21"/>
      <c r="CZ134" s="21"/>
      <c r="DA134" s="21"/>
      <c r="DB134" s="21"/>
      <c r="DC134" s="21"/>
      <c r="DD134" s="21"/>
      <c r="DE134" s="21"/>
      <c r="DF134" s="21"/>
      <c r="DG134" s="21"/>
      <c r="DH134" s="21"/>
      <c r="DI134" s="21"/>
      <c r="DJ134" s="21"/>
      <c r="DK134" s="21"/>
      <c r="DL134" s="21"/>
      <c r="DM134" s="21"/>
      <c r="DN134" s="21"/>
      <c r="DO134" s="21"/>
      <c r="DP134" s="21"/>
      <c r="DQ134" s="21"/>
      <c r="DR134" s="21"/>
      <c r="DS134" s="21"/>
      <c r="DT134" s="21"/>
      <c r="DU134" s="21"/>
    </row>
    <row r="135" spans="1:125" x14ac:dyDescent="0.2">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1"/>
      <c r="BB135" s="21"/>
      <c r="BC135" s="21"/>
      <c r="BD135" s="21"/>
      <c r="BE135" s="21"/>
      <c r="BF135" s="21"/>
      <c r="BG135" s="21"/>
      <c r="BH135" s="21"/>
      <c r="BI135" s="21"/>
      <c r="BJ135" s="21"/>
      <c r="BK135" s="21"/>
      <c r="BL135" s="21"/>
      <c r="BM135" s="21"/>
      <c r="BN135" s="21"/>
      <c r="BO135" s="21"/>
      <c r="BP135" s="21"/>
      <c r="BQ135" s="21"/>
      <c r="BR135" s="21"/>
      <c r="BS135" s="21"/>
      <c r="BT135" s="21"/>
      <c r="BU135" s="21"/>
      <c r="BV135" s="21"/>
      <c r="BW135" s="21"/>
      <c r="BX135" s="21"/>
      <c r="BY135" s="21"/>
      <c r="BZ135" s="21"/>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c r="DA135" s="21"/>
      <c r="DB135" s="21"/>
      <c r="DC135" s="21"/>
      <c r="DD135" s="21"/>
      <c r="DE135" s="21"/>
      <c r="DF135" s="21"/>
      <c r="DG135" s="21"/>
      <c r="DH135" s="21"/>
      <c r="DI135" s="21"/>
      <c r="DJ135" s="21"/>
      <c r="DK135" s="21"/>
      <c r="DL135" s="21"/>
      <c r="DM135" s="21"/>
      <c r="DN135" s="21"/>
      <c r="DO135" s="21"/>
      <c r="DP135" s="21"/>
      <c r="DQ135" s="21"/>
      <c r="DR135" s="21"/>
      <c r="DS135" s="21"/>
      <c r="DT135" s="21"/>
      <c r="DU135" s="21"/>
    </row>
    <row r="136" spans="1:125" x14ac:dyDescent="0.2">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1"/>
      <c r="BB136" s="21"/>
      <c r="BC136" s="21"/>
      <c r="BD136" s="21"/>
      <c r="BE136" s="21"/>
      <c r="BF136" s="21"/>
      <c r="BG136" s="21"/>
      <c r="BH136" s="21"/>
      <c r="BI136" s="21"/>
      <c r="BJ136" s="21"/>
      <c r="BK136" s="21"/>
      <c r="BL136" s="21"/>
      <c r="BM136" s="21"/>
      <c r="BN136" s="21"/>
      <c r="BO136" s="21"/>
      <c r="BP136" s="21"/>
      <c r="BQ136" s="21"/>
      <c r="BR136" s="21"/>
      <c r="BS136" s="21"/>
      <c r="BT136" s="21"/>
      <c r="BU136" s="21"/>
      <c r="BV136" s="21"/>
      <c r="BW136" s="21"/>
      <c r="BX136" s="21"/>
      <c r="BY136" s="21"/>
      <c r="BZ136" s="21"/>
      <c r="CA136" s="21"/>
      <c r="CB136" s="21"/>
      <c r="CC136" s="21"/>
      <c r="CD136" s="21"/>
      <c r="CE136" s="21"/>
      <c r="CF136" s="21"/>
      <c r="CG136" s="21"/>
      <c r="CH136" s="21"/>
      <c r="CI136" s="21"/>
      <c r="CJ136" s="21"/>
      <c r="CK136" s="21"/>
      <c r="CL136" s="21"/>
      <c r="CM136" s="21"/>
      <c r="CN136" s="21"/>
      <c r="CO136" s="21"/>
      <c r="CP136" s="21"/>
      <c r="CQ136" s="21"/>
      <c r="CR136" s="21"/>
      <c r="CS136" s="21"/>
      <c r="CT136" s="21"/>
      <c r="CU136" s="21"/>
      <c r="CV136" s="21"/>
      <c r="CW136" s="21"/>
      <c r="CX136" s="21"/>
      <c r="CY136" s="21"/>
      <c r="CZ136" s="21"/>
      <c r="DA136" s="21"/>
      <c r="DB136" s="21"/>
      <c r="DC136" s="21"/>
      <c r="DD136" s="21"/>
      <c r="DE136" s="21"/>
      <c r="DF136" s="21"/>
      <c r="DG136" s="21"/>
      <c r="DH136" s="21"/>
      <c r="DI136" s="21"/>
      <c r="DJ136" s="21"/>
      <c r="DK136" s="21"/>
      <c r="DL136" s="21"/>
      <c r="DM136" s="21"/>
      <c r="DN136" s="21"/>
      <c r="DO136" s="21"/>
      <c r="DP136" s="21"/>
      <c r="DQ136" s="21"/>
      <c r="DR136" s="21"/>
      <c r="DS136" s="21"/>
      <c r="DT136" s="21"/>
      <c r="DU136" s="21"/>
    </row>
    <row r="137" spans="1:125" x14ac:dyDescent="0.2">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c r="AZ137" s="21"/>
      <c r="BA137" s="21"/>
      <c r="BB137" s="21"/>
      <c r="BC137" s="21"/>
      <c r="BD137" s="21"/>
      <c r="BE137" s="21"/>
      <c r="BF137" s="21"/>
      <c r="BG137" s="21"/>
      <c r="BH137" s="21"/>
      <c r="BI137" s="21"/>
      <c r="BJ137" s="21"/>
      <c r="BK137" s="21"/>
      <c r="BL137" s="21"/>
      <c r="BM137" s="21"/>
      <c r="BN137" s="21"/>
      <c r="BO137" s="21"/>
      <c r="BP137" s="21"/>
      <c r="BQ137" s="21"/>
      <c r="BR137" s="21"/>
      <c r="BS137" s="21"/>
      <c r="BT137" s="21"/>
      <c r="BU137" s="21"/>
      <c r="BV137" s="21"/>
      <c r="BW137" s="21"/>
      <c r="BX137" s="21"/>
      <c r="BY137" s="21"/>
      <c r="BZ137" s="21"/>
      <c r="CA137" s="21"/>
      <c r="CB137" s="21"/>
      <c r="CC137" s="21"/>
      <c r="CD137" s="21"/>
      <c r="CE137" s="21"/>
      <c r="CF137" s="21"/>
      <c r="CG137" s="21"/>
      <c r="CH137" s="21"/>
      <c r="CI137" s="21"/>
      <c r="CJ137" s="21"/>
      <c r="CK137" s="21"/>
      <c r="CL137" s="21"/>
      <c r="CM137" s="21"/>
      <c r="CN137" s="21"/>
      <c r="CO137" s="21"/>
      <c r="CP137" s="21"/>
      <c r="CQ137" s="21"/>
      <c r="CR137" s="21"/>
      <c r="CS137" s="21"/>
      <c r="CT137" s="21"/>
      <c r="CU137" s="21"/>
      <c r="CV137" s="21"/>
      <c r="CW137" s="21"/>
      <c r="CX137" s="21"/>
      <c r="CY137" s="21"/>
      <c r="CZ137" s="21"/>
      <c r="DA137" s="21"/>
      <c r="DB137" s="21"/>
      <c r="DC137" s="21"/>
      <c r="DD137" s="21"/>
      <c r="DE137" s="21"/>
      <c r="DF137" s="21"/>
      <c r="DG137" s="21"/>
      <c r="DH137" s="21"/>
      <c r="DI137" s="21"/>
      <c r="DJ137" s="21"/>
      <c r="DK137" s="21"/>
      <c r="DL137" s="21"/>
      <c r="DM137" s="21"/>
      <c r="DN137" s="21"/>
      <c r="DO137" s="21"/>
      <c r="DP137" s="21"/>
      <c r="DQ137" s="21"/>
      <c r="DR137" s="21"/>
      <c r="DS137" s="21"/>
      <c r="DT137" s="21"/>
      <c r="DU137" s="21"/>
    </row>
    <row r="138" spans="1:125" x14ac:dyDescent="0.2">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c r="AZ138" s="21"/>
      <c r="BA138" s="21"/>
      <c r="BB138" s="21"/>
      <c r="BC138" s="21"/>
      <c r="BD138" s="21"/>
      <c r="BE138" s="21"/>
      <c r="BF138" s="21"/>
      <c r="BG138" s="21"/>
      <c r="BH138" s="21"/>
      <c r="BI138" s="21"/>
      <c r="BJ138" s="21"/>
      <c r="BK138" s="21"/>
      <c r="BL138" s="21"/>
      <c r="BM138" s="21"/>
      <c r="BN138" s="21"/>
      <c r="BO138" s="21"/>
      <c r="BP138" s="21"/>
      <c r="BQ138" s="21"/>
      <c r="BR138" s="21"/>
      <c r="BS138" s="21"/>
      <c r="BT138" s="21"/>
      <c r="BU138" s="21"/>
      <c r="BV138" s="21"/>
      <c r="BW138" s="21"/>
      <c r="BX138" s="21"/>
      <c r="BY138" s="21"/>
      <c r="BZ138" s="21"/>
      <c r="CA138" s="21"/>
      <c r="CB138" s="21"/>
      <c r="CC138" s="21"/>
      <c r="CD138" s="21"/>
      <c r="CE138" s="21"/>
      <c r="CF138" s="21"/>
      <c r="CG138" s="21"/>
      <c r="CH138" s="21"/>
      <c r="CI138" s="21"/>
      <c r="CJ138" s="21"/>
      <c r="CK138" s="21"/>
      <c r="CL138" s="21"/>
      <c r="CM138" s="21"/>
      <c r="CN138" s="21"/>
      <c r="CO138" s="21"/>
      <c r="CP138" s="21"/>
      <c r="CQ138" s="21"/>
      <c r="CR138" s="21"/>
      <c r="CS138" s="21"/>
      <c r="CT138" s="21"/>
      <c r="CU138" s="21"/>
      <c r="CV138" s="21"/>
      <c r="CW138" s="21"/>
      <c r="CX138" s="21"/>
      <c r="CY138" s="21"/>
      <c r="CZ138" s="21"/>
      <c r="DA138" s="21"/>
      <c r="DB138" s="21"/>
      <c r="DC138" s="21"/>
      <c r="DD138" s="21"/>
      <c r="DE138" s="21"/>
      <c r="DF138" s="21"/>
      <c r="DG138" s="21"/>
      <c r="DH138" s="21"/>
      <c r="DI138" s="21"/>
      <c r="DJ138" s="21"/>
      <c r="DK138" s="21"/>
      <c r="DL138" s="21"/>
      <c r="DM138" s="21"/>
      <c r="DN138" s="21"/>
      <c r="DO138" s="21"/>
      <c r="DP138" s="21"/>
      <c r="DQ138" s="21"/>
      <c r="DR138" s="21"/>
      <c r="DS138" s="21"/>
      <c r="DT138" s="21"/>
      <c r="DU138" s="21"/>
    </row>
    <row r="139" spans="1:125" x14ac:dyDescent="0.2">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1"/>
      <c r="BB139" s="21"/>
      <c r="BC139" s="21"/>
      <c r="BD139" s="21"/>
      <c r="BE139" s="21"/>
      <c r="BF139" s="21"/>
      <c r="BG139" s="21"/>
      <c r="BH139" s="21"/>
      <c r="BI139" s="21"/>
      <c r="BJ139" s="21"/>
      <c r="BK139" s="21"/>
      <c r="BL139" s="21"/>
      <c r="BM139" s="21"/>
      <c r="BN139" s="21"/>
      <c r="BO139" s="21"/>
      <c r="BP139" s="21"/>
      <c r="BQ139" s="21"/>
      <c r="BR139" s="21"/>
      <c r="BS139" s="21"/>
      <c r="BT139" s="21"/>
      <c r="BU139" s="21"/>
      <c r="BV139" s="21"/>
      <c r="BW139" s="21"/>
      <c r="BX139" s="21"/>
      <c r="BY139" s="21"/>
      <c r="BZ139" s="21"/>
      <c r="CA139" s="21"/>
      <c r="CB139" s="21"/>
      <c r="CC139" s="21"/>
      <c r="CD139" s="21"/>
      <c r="CE139" s="21"/>
      <c r="CF139" s="21"/>
      <c r="CG139" s="21"/>
      <c r="CH139" s="21"/>
      <c r="CI139" s="21"/>
      <c r="CJ139" s="21"/>
      <c r="CK139" s="21"/>
      <c r="CL139" s="21"/>
      <c r="CM139" s="21"/>
      <c r="CN139" s="21"/>
      <c r="CO139" s="21"/>
      <c r="CP139" s="21"/>
      <c r="CQ139" s="21"/>
      <c r="CR139" s="21"/>
      <c r="CS139" s="21"/>
      <c r="CT139" s="21"/>
      <c r="CU139" s="21"/>
      <c r="CV139" s="21"/>
      <c r="CW139" s="21"/>
      <c r="CX139" s="21"/>
      <c r="CY139" s="21"/>
      <c r="CZ139" s="21"/>
      <c r="DA139" s="21"/>
      <c r="DB139" s="21"/>
      <c r="DC139" s="21"/>
      <c r="DD139" s="21"/>
      <c r="DE139" s="21"/>
      <c r="DF139" s="21"/>
      <c r="DG139" s="21"/>
      <c r="DH139" s="21"/>
      <c r="DI139" s="21"/>
      <c r="DJ139" s="21"/>
      <c r="DK139" s="21"/>
      <c r="DL139" s="21"/>
      <c r="DM139" s="21"/>
      <c r="DN139" s="21"/>
      <c r="DO139" s="21"/>
      <c r="DP139" s="21"/>
      <c r="DQ139" s="21"/>
      <c r="DR139" s="21"/>
      <c r="DS139" s="21"/>
      <c r="DT139" s="21"/>
      <c r="DU139" s="21"/>
    </row>
    <row r="140" spans="1:125" x14ac:dyDescent="0.2">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1"/>
      <c r="BB140" s="21"/>
      <c r="BC140" s="21"/>
      <c r="BD140" s="21"/>
      <c r="BE140" s="21"/>
      <c r="BF140" s="21"/>
      <c r="BG140" s="21"/>
      <c r="BH140" s="21"/>
      <c r="BI140" s="21"/>
      <c r="BJ140" s="21"/>
      <c r="BK140" s="21"/>
      <c r="BL140" s="21"/>
      <c r="BM140" s="21"/>
      <c r="BN140" s="21"/>
      <c r="BO140" s="21"/>
      <c r="BP140" s="21"/>
      <c r="BQ140" s="21"/>
      <c r="BR140" s="21"/>
      <c r="BS140" s="21"/>
      <c r="BT140" s="21"/>
      <c r="BU140" s="21"/>
      <c r="BV140" s="21"/>
      <c r="BW140" s="21"/>
      <c r="BX140" s="21"/>
      <c r="BY140" s="21"/>
      <c r="BZ140" s="21"/>
      <c r="CA140" s="21"/>
      <c r="CB140" s="21"/>
      <c r="CC140" s="21"/>
      <c r="CD140" s="21"/>
      <c r="CE140" s="21"/>
      <c r="CF140" s="21"/>
      <c r="CG140" s="21"/>
      <c r="CH140" s="21"/>
      <c r="CI140" s="21"/>
      <c r="CJ140" s="21"/>
      <c r="CK140" s="21"/>
      <c r="CL140" s="21"/>
      <c r="CM140" s="21"/>
      <c r="CN140" s="21"/>
      <c r="CO140" s="21"/>
      <c r="CP140" s="21"/>
      <c r="CQ140" s="21"/>
      <c r="CR140" s="21"/>
      <c r="CS140" s="21"/>
      <c r="CT140" s="21"/>
      <c r="CU140" s="21"/>
      <c r="CV140" s="21"/>
      <c r="CW140" s="21"/>
      <c r="CX140" s="21"/>
      <c r="CY140" s="21"/>
      <c r="CZ140" s="21"/>
      <c r="DA140" s="21"/>
      <c r="DB140" s="21"/>
      <c r="DC140" s="21"/>
      <c r="DD140" s="21"/>
      <c r="DE140" s="21"/>
      <c r="DF140" s="21"/>
      <c r="DG140" s="21"/>
      <c r="DH140" s="21"/>
      <c r="DI140" s="21"/>
      <c r="DJ140" s="21"/>
      <c r="DK140" s="21"/>
      <c r="DL140" s="21"/>
      <c r="DM140" s="21"/>
      <c r="DN140" s="21"/>
      <c r="DO140" s="21"/>
      <c r="DP140" s="21"/>
      <c r="DQ140" s="21"/>
      <c r="DR140" s="21"/>
      <c r="DS140" s="21"/>
      <c r="DT140" s="21"/>
      <c r="DU140" s="21"/>
    </row>
    <row r="141" spans="1:125" x14ac:dyDescent="0.2">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1"/>
      <c r="BB141" s="21"/>
      <c r="BC141" s="21"/>
      <c r="BD141" s="21"/>
      <c r="BE141" s="21"/>
      <c r="BF141" s="21"/>
      <c r="BG141" s="21"/>
      <c r="BH141" s="21"/>
      <c r="BI141" s="21"/>
      <c r="BJ141" s="21"/>
      <c r="BK141" s="21"/>
      <c r="BL141" s="21"/>
      <c r="BM141" s="21"/>
      <c r="BN141" s="21"/>
      <c r="BO141" s="21"/>
      <c r="BP141" s="21"/>
      <c r="BQ141" s="21"/>
      <c r="BR141" s="21"/>
      <c r="BS141" s="21"/>
      <c r="BT141" s="21"/>
      <c r="BU141" s="21"/>
      <c r="BV141" s="21"/>
      <c r="BW141" s="21"/>
      <c r="BX141" s="21"/>
      <c r="BY141" s="21"/>
      <c r="BZ141" s="21"/>
      <c r="CA141" s="21"/>
      <c r="CB141" s="21"/>
      <c r="CC141" s="21"/>
      <c r="CD141" s="21"/>
      <c r="CE141" s="21"/>
      <c r="CF141" s="21"/>
      <c r="CG141" s="21"/>
      <c r="CH141" s="21"/>
      <c r="CI141" s="21"/>
      <c r="CJ141" s="21"/>
      <c r="CK141" s="21"/>
      <c r="CL141" s="21"/>
      <c r="CM141" s="21"/>
      <c r="CN141" s="21"/>
      <c r="CO141" s="21"/>
      <c r="CP141" s="21"/>
      <c r="CQ141" s="21"/>
      <c r="CR141" s="21"/>
      <c r="CS141" s="21"/>
      <c r="CT141" s="21"/>
      <c r="CU141" s="21"/>
      <c r="CV141" s="21"/>
      <c r="CW141" s="21"/>
      <c r="CX141" s="21"/>
      <c r="CY141" s="21"/>
      <c r="CZ141" s="21"/>
      <c r="DA141" s="21"/>
      <c r="DB141" s="21"/>
      <c r="DC141" s="21"/>
      <c r="DD141" s="21"/>
      <c r="DE141" s="21"/>
      <c r="DF141" s="21"/>
      <c r="DG141" s="21"/>
      <c r="DH141" s="21"/>
      <c r="DI141" s="21"/>
      <c r="DJ141" s="21"/>
      <c r="DK141" s="21"/>
      <c r="DL141" s="21"/>
      <c r="DM141" s="21"/>
      <c r="DN141" s="21"/>
      <c r="DO141" s="21"/>
      <c r="DP141" s="21"/>
      <c r="DQ141" s="21"/>
      <c r="DR141" s="21"/>
      <c r="DS141" s="21"/>
      <c r="DT141" s="21"/>
      <c r="DU141" s="21"/>
    </row>
    <row r="142" spans="1:125" x14ac:dyDescent="0.2">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1"/>
      <c r="BB142" s="21"/>
      <c r="BC142" s="21"/>
      <c r="BD142" s="21"/>
      <c r="BE142" s="21"/>
      <c r="BF142" s="21"/>
      <c r="BG142" s="21"/>
      <c r="BH142" s="21"/>
      <c r="BI142" s="21"/>
      <c r="BJ142" s="21"/>
      <c r="BK142" s="21"/>
      <c r="BL142" s="21"/>
      <c r="BM142" s="21"/>
      <c r="BN142" s="21"/>
      <c r="BO142" s="21"/>
      <c r="BP142" s="21"/>
      <c r="BQ142" s="21"/>
      <c r="BR142" s="21"/>
      <c r="BS142" s="21"/>
      <c r="BT142" s="21"/>
      <c r="BU142" s="21"/>
      <c r="BV142" s="21"/>
      <c r="BW142" s="21"/>
      <c r="BX142" s="21"/>
      <c r="BY142" s="21"/>
      <c r="BZ142" s="21"/>
      <c r="CA142" s="21"/>
      <c r="CB142" s="21"/>
      <c r="CC142" s="21"/>
      <c r="CD142" s="21"/>
      <c r="CE142" s="21"/>
      <c r="CF142" s="21"/>
      <c r="CG142" s="21"/>
      <c r="CH142" s="21"/>
      <c r="CI142" s="21"/>
      <c r="CJ142" s="21"/>
      <c r="CK142" s="21"/>
      <c r="CL142" s="21"/>
      <c r="CM142" s="21"/>
      <c r="CN142" s="21"/>
      <c r="CO142" s="21"/>
      <c r="CP142" s="21"/>
      <c r="CQ142" s="21"/>
      <c r="CR142" s="21"/>
      <c r="CS142" s="21"/>
      <c r="CT142" s="21"/>
      <c r="CU142" s="21"/>
      <c r="CV142" s="21"/>
      <c r="CW142" s="21"/>
      <c r="CX142" s="21"/>
      <c r="CY142" s="21"/>
      <c r="CZ142" s="21"/>
      <c r="DA142" s="21"/>
      <c r="DB142" s="21"/>
      <c r="DC142" s="21"/>
      <c r="DD142" s="21"/>
      <c r="DE142" s="21"/>
      <c r="DF142" s="21"/>
      <c r="DG142" s="21"/>
      <c r="DH142" s="21"/>
      <c r="DI142" s="21"/>
      <c r="DJ142" s="21"/>
      <c r="DK142" s="21"/>
      <c r="DL142" s="21"/>
      <c r="DM142" s="21"/>
      <c r="DN142" s="21"/>
      <c r="DO142" s="21"/>
      <c r="DP142" s="21"/>
      <c r="DQ142" s="21"/>
      <c r="DR142" s="21"/>
      <c r="DS142" s="21"/>
      <c r="DT142" s="21"/>
      <c r="DU142" s="21"/>
    </row>
    <row r="143" spans="1:125" x14ac:dyDescent="0.2">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1"/>
      <c r="BB143" s="21"/>
      <c r="BC143" s="21"/>
      <c r="BD143" s="21"/>
      <c r="BE143" s="21"/>
      <c r="BF143" s="21"/>
      <c r="BG143" s="21"/>
      <c r="BH143" s="21"/>
      <c r="BI143" s="21"/>
      <c r="BJ143" s="21"/>
      <c r="BK143" s="21"/>
      <c r="BL143" s="21"/>
      <c r="BM143" s="21"/>
      <c r="BN143" s="21"/>
      <c r="BO143" s="21"/>
      <c r="BP143" s="21"/>
      <c r="BQ143" s="21"/>
      <c r="BR143" s="21"/>
      <c r="BS143" s="21"/>
      <c r="BT143" s="21"/>
      <c r="BU143" s="21"/>
      <c r="BV143" s="21"/>
      <c r="BW143" s="21"/>
      <c r="BX143" s="21"/>
      <c r="BY143" s="21"/>
      <c r="BZ143" s="21"/>
      <c r="CA143" s="21"/>
      <c r="CB143" s="21"/>
      <c r="CC143" s="21"/>
      <c r="CD143" s="21"/>
      <c r="CE143" s="21"/>
      <c r="CF143" s="21"/>
      <c r="CG143" s="21"/>
      <c r="CH143" s="21"/>
      <c r="CI143" s="21"/>
      <c r="CJ143" s="21"/>
      <c r="CK143" s="21"/>
      <c r="CL143" s="21"/>
      <c r="CM143" s="21"/>
      <c r="CN143" s="21"/>
      <c r="CO143" s="21"/>
      <c r="CP143" s="21"/>
      <c r="CQ143" s="21"/>
      <c r="CR143" s="21"/>
      <c r="CS143" s="21"/>
      <c r="CT143" s="21"/>
      <c r="CU143" s="21"/>
      <c r="CV143" s="21"/>
      <c r="CW143" s="21"/>
      <c r="CX143" s="21"/>
      <c r="CY143" s="21"/>
      <c r="CZ143" s="21"/>
      <c r="DA143" s="21"/>
      <c r="DB143" s="21"/>
      <c r="DC143" s="21"/>
      <c r="DD143" s="21"/>
      <c r="DE143" s="21"/>
      <c r="DF143" s="21"/>
      <c r="DG143" s="21"/>
      <c r="DH143" s="21"/>
      <c r="DI143" s="21"/>
      <c r="DJ143" s="21"/>
      <c r="DK143" s="21"/>
      <c r="DL143" s="21"/>
      <c r="DM143" s="21"/>
      <c r="DN143" s="21"/>
      <c r="DO143" s="21"/>
      <c r="DP143" s="21"/>
      <c r="DQ143" s="21"/>
      <c r="DR143" s="21"/>
      <c r="DS143" s="21"/>
      <c r="DT143" s="21"/>
      <c r="DU143" s="21"/>
    </row>
    <row r="144" spans="1:125" x14ac:dyDescent="0.2">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1"/>
      <c r="BB144" s="21"/>
      <c r="BC144" s="21"/>
      <c r="BD144" s="21"/>
      <c r="BE144" s="21"/>
      <c r="BF144" s="21"/>
      <c r="BG144" s="21"/>
      <c r="BH144" s="21"/>
      <c r="BI144" s="21"/>
      <c r="BJ144" s="21"/>
      <c r="BK144" s="21"/>
      <c r="BL144" s="21"/>
      <c r="BM144" s="21"/>
      <c r="BN144" s="21"/>
      <c r="BO144" s="21"/>
      <c r="BP144" s="21"/>
      <c r="BQ144" s="21"/>
      <c r="BR144" s="21"/>
      <c r="BS144" s="21"/>
      <c r="BT144" s="21"/>
      <c r="BU144" s="21"/>
      <c r="BV144" s="21"/>
      <c r="BW144" s="21"/>
      <c r="BX144" s="21"/>
      <c r="BY144" s="21"/>
      <c r="BZ144" s="21"/>
      <c r="CA144" s="21"/>
      <c r="CB144" s="21"/>
      <c r="CC144" s="21"/>
      <c r="CD144" s="21"/>
      <c r="CE144" s="21"/>
      <c r="CF144" s="21"/>
      <c r="CG144" s="21"/>
      <c r="CH144" s="21"/>
      <c r="CI144" s="21"/>
      <c r="CJ144" s="21"/>
      <c r="CK144" s="21"/>
      <c r="CL144" s="21"/>
      <c r="CM144" s="21"/>
      <c r="CN144" s="21"/>
      <c r="CO144" s="21"/>
      <c r="CP144" s="21"/>
      <c r="CQ144" s="21"/>
      <c r="CR144" s="21"/>
      <c r="CS144" s="21"/>
      <c r="CT144" s="21"/>
      <c r="CU144" s="21"/>
      <c r="CV144" s="21"/>
      <c r="CW144" s="21"/>
      <c r="CX144" s="21"/>
      <c r="CY144" s="21"/>
      <c r="CZ144" s="21"/>
      <c r="DA144" s="21"/>
      <c r="DB144" s="21"/>
      <c r="DC144" s="21"/>
      <c r="DD144" s="21"/>
      <c r="DE144" s="21"/>
      <c r="DF144" s="21"/>
      <c r="DG144" s="21"/>
      <c r="DH144" s="21"/>
      <c r="DI144" s="21"/>
      <c r="DJ144" s="21"/>
      <c r="DK144" s="21"/>
      <c r="DL144" s="21"/>
      <c r="DM144" s="21"/>
      <c r="DN144" s="21"/>
      <c r="DO144" s="21"/>
      <c r="DP144" s="21"/>
      <c r="DQ144" s="21"/>
      <c r="DR144" s="21"/>
      <c r="DS144" s="21"/>
      <c r="DT144" s="21"/>
      <c r="DU144" s="21"/>
    </row>
    <row r="145" spans="1:125" x14ac:dyDescent="0.2">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1"/>
      <c r="BB145" s="21"/>
      <c r="BC145" s="21"/>
      <c r="BD145" s="21"/>
      <c r="BE145" s="21"/>
      <c r="BF145" s="21"/>
      <c r="BG145" s="21"/>
      <c r="BH145" s="21"/>
      <c r="BI145" s="21"/>
      <c r="BJ145" s="21"/>
      <c r="BK145" s="21"/>
      <c r="BL145" s="21"/>
      <c r="BM145" s="21"/>
      <c r="BN145" s="21"/>
      <c r="BO145" s="21"/>
      <c r="BP145" s="21"/>
      <c r="BQ145" s="21"/>
      <c r="BR145" s="21"/>
      <c r="BS145" s="21"/>
      <c r="BT145" s="21"/>
      <c r="BU145" s="21"/>
      <c r="BV145" s="21"/>
      <c r="BW145" s="21"/>
      <c r="BX145" s="21"/>
      <c r="BY145" s="21"/>
      <c r="BZ145" s="21"/>
      <c r="CA145" s="21"/>
      <c r="CB145" s="21"/>
      <c r="CC145" s="21"/>
      <c r="CD145" s="21"/>
      <c r="CE145" s="21"/>
      <c r="CF145" s="21"/>
      <c r="CG145" s="21"/>
      <c r="CH145" s="21"/>
      <c r="CI145" s="21"/>
      <c r="CJ145" s="21"/>
      <c r="CK145" s="21"/>
      <c r="CL145" s="21"/>
      <c r="CM145" s="21"/>
      <c r="CN145" s="21"/>
      <c r="CO145" s="21"/>
      <c r="CP145" s="21"/>
      <c r="CQ145" s="21"/>
      <c r="CR145" s="21"/>
      <c r="CS145" s="21"/>
      <c r="CT145" s="21"/>
      <c r="CU145" s="21"/>
      <c r="CV145" s="21"/>
      <c r="CW145" s="21"/>
      <c r="CX145" s="21"/>
      <c r="CY145" s="21"/>
      <c r="CZ145" s="21"/>
      <c r="DA145" s="21"/>
      <c r="DB145" s="21"/>
      <c r="DC145" s="21"/>
      <c r="DD145" s="21"/>
      <c r="DE145" s="21"/>
      <c r="DF145" s="21"/>
      <c r="DG145" s="21"/>
      <c r="DH145" s="21"/>
      <c r="DI145" s="21"/>
      <c r="DJ145" s="21"/>
      <c r="DK145" s="21"/>
      <c r="DL145" s="21"/>
      <c r="DM145" s="21"/>
      <c r="DN145" s="21"/>
      <c r="DO145" s="21"/>
      <c r="DP145" s="21"/>
      <c r="DQ145" s="21"/>
      <c r="DR145" s="21"/>
      <c r="DS145" s="21"/>
      <c r="DT145" s="21"/>
      <c r="DU145" s="21"/>
    </row>
    <row r="146" spans="1:125" x14ac:dyDescent="0.2">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1"/>
      <c r="BB146" s="21"/>
      <c r="BC146" s="21"/>
      <c r="BD146" s="21"/>
      <c r="BE146" s="21"/>
      <c r="BF146" s="21"/>
      <c r="BG146" s="21"/>
      <c r="BH146" s="21"/>
      <c r="BI146" s="21"/>
      <c r="BJ146" s="21"/>
      <c r="BK146" s="21"/>
      <c r="BL146" s="21"/>
      <c r="BM146" s="21"/>
      <c r="BN146" s="21"/>
      <c r="BO146" s="21"/>
      <c r="BP146" s="21"/>
      <c r="BQ146" s="21"/>
      <c r="BR146" s="21"/>
      <c r="BS146" s="21"/>
      <c r="BT146" s="21"/>
      <c r="BU146" s="21"/>
      <c r="BV146" s="21"/>
      <c r="BW146" s="21"/>
      <c r="BX146" s="21"/>
      <c r="BY146" s="21"/>
      <c r="BZ146" s="21"/>
      <c r="CA146" s="21"/>
      <c r="CB146" s="21"/>
      <c r="CC146" s="21"/>
      <c r="CD146" s="21"/>
      <c r="CE146" s="21"/>
      <c r="CF146" s="21"/>
      <c r="CG146" s="21"/>
      <c r="CH146" s="21"/>
      <c r="CI146" s="21"/>
      <c r="CJ146" s="21"/>
      <c r="CK146" s="21"/>
      <c r="CL146" s="21"/>
      <c r="CM146" s="21"/>
      <c r="CN146" s="21"/>
      <c r="CO146" s="21"/>
      <c r="CP146" s="21"/>
      <c r="CQ146" s="21"/>
      <c r="CR146" s="21"/>
      <c r="CS146" s="21"/>
      <c r="CT146" s="21"/>
      <c r="CU146" s="21"/>
      <c r="CV146" s="21"/>
      <c r="CW146" s="21"/>
      <c r="CX146" s="21"/>
      <c r="CY146" s="21"/>
      <c r="CZ146" s="21"/>
      <c r="DA146" s="21"/>
      <c r="DB146" s="21"/>
      <c r="DC146" s="21"/>
      <c r="DD146" s="21"/>
      <c r="DE146" s="21"/>
      <c r="DF146" s="21"/>
      <c r="DG146" s="21"/>
      <c r="DH146" s="21"/>
      <c r="DI146" s="21"/>
      <c r="DJ146" s="21"/>
      <c r="DK146" s="21"/>
      <c r="DL146" s="21"/>
      <c r="DM146" s="21"/>
      <c r="DN146" s="21"/>
      <c r="DO146" s="21"/>
      <c r="DP146" s="21"/>
      <c r="DQ146" s="21"/>
      <c r="DR146" s="21"/>
      <c r="DS146" s="21"/>
      <c r="DT146" s="21"/>
      <c r="DU146" s="21"/>
    </row>
    <row r="147" spans="1:125" x14ac:dyDescent="0.2">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1"/>
      <c r="BB147" s="21"/>
      <c r="BC147" s="21"/>
      <c r="BD147" s="21"/>
      <c r="BE147" s="21"/>
      <c r="BF147" s="21"/>
      <c r="BG147" s="21"/>
      <c r="BH147" s="21"/>
      <c r="BI147" s="21"/>
      <c r="BJ147" s="21"/>
      <c r="BK147" s="21"/>
      <c r="BL147" s="21"/>
      <c r="BM147" s="21"/>
      <c r="BN147" s="21"/>
      <c r="BO147" s="21"/>
      <c r="BP147" s="21"/>
      <c r="BQ147" s="21"/>
      <c r="BR147" s="21"/>
      <c r="BS147" s="21"/>
      <c r="BT147" s="21"/>
      <c r="BU147" s="21"/>
      <c r="BV147" s="21"/>
      <c r="BW147" s="21"/>
      <c r="BX147" s="21"/>
      <c r="BY147" s="21"/>
      <c r="BZ147" s="21"/>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c r="DA147" s="21"/>
      <c r="DB147" s="21"/>
      <c r="DC147" s="21"/>
      <c r="DD147" s="21"/>
      <c r="DE147" s="21"/>
      <c r="DF147" s="21"/>
      <c r="DG147" s="21"/>
      <c r="DH147" s="21"/>
      <c r="DI147" s="21"/>
      <c r="DJ147" s="21"/>
      <c r="DK147" s="21"/>
      <c r="DL147" s="21"/>
      <c r="DM147" s="21"/>
      <c r="DN147" s="21"/>
      <c r="DO147" s="21"/>
      <c r="DP147" s="21"/>
      <c r="DQ147" s="21"/>
      <c r="DR147" s="21"/>
      <c r="DS147" s="21"/>
      <c r="DT147" s="21"/>
      <c r="DU147" s="21"/>
    </row>
    <row r="148" spans="1:125" x14ac:dyDescent="0.2">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c r="AZ148" s="21"/>
      <c r="BA148" s="21"/>
      <c r="BB148" s="21"/>
      <c r="BC148" s="21"/>
      <c r="BD148" s="21"/>
      <c r="BE148" s="21"/>
      <c r="BF148" s="21"/>
      <c r="BG148" s="21"/>
      <c r="BH148" s="21"/>
      <c r="BI148" s="21"/>
      <c r="BJ148" s="21"/>
      <c r="BK148" s="21"/>
      <c r="BL148" s="21"/>
      <c r="BM148" s="21"/>
      <c r="BN148" s="21"/>
      <c r="BO148" s="21"/>
      <c r="BP148" s="21"/>
      <c r="BQ148" s="21"/>
      <c r="BR148" s="21"/>
      <c r="BS148" s="21"/>
      <c r="BT148" s="21"/>
      <c r="BU148" s="21"/>
      <c r="BV148" s="21"/>
      <c r="BW148" s="21"/>
      <c r="BX148" s="21"/>
      <c r="BY148" s="21"/>
      <c r="BZ148" s="21"/>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c r="DA148" s="21"/>
      <c r="DB148" s="21"/>
      <c r="DC148" s="21"/>
      <c r="DD148" s="21"/>
      <c r="DE148" s="21"/>
      <c r="DF148" s="21"/>
      <c r="DG148" s="21"/>
      <c r="DH148" s="21"/>
      <c r="DI148" s="21"/>
      <c r="DJ148" s="21"/>
      <c r="DK148" s="21"/>
      <c r="DL148" s="21"/>
      <c r="DM148" s="21"/>
      <c r="DN148" s="21"/>
      <c r="DO148" s="21"/>
      <c r="DP148" s="21"/>
      <c r="DQ148" s="21"/>
      <c r="DR148" s="21"/>
      <c r="DS148" s="21"/>
      <c r="DT148" s="21"/>
      <c r="DU148" s="21"/>
    </row>
    <row r="149" spans="1:125" x14ac:dyDescent="0.2">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c r="BM149" s="21"/>
      <c r="BN149" s="21"/>
      <c r="BO149" s="21"/>
      <c r="BP149" s="21"/>
      <c r="BQ149" s="21"/>
      <c r="BR149" s="21"/>
      <c r="BS149" s="21"/>
      <c r="BT149" s="21"/>
      <c r="BU149" s="21"/>
      <c r="BV149" s="21"/>
      <c r="BW149" s="21"/>
      <c r="BX149" s="21"/>
      <c r="BY149" s="21"/>
      <c r="BZ149" s="21"/>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c r="DA149" s="21"/>
      <c r="DB149" s="21"/>
      <c r="DC149" s="21"/>
      <c r="DD149" s="21"/>
      <c r="DE149" s="21"/>
      <c r="DF149" s="21"/>
      <c r="DG149" s="21"/>
      <c r="DH149" s="21"/>
      <c r="DI149" s="21"/>
      <c r="DJ149" s="21"/>
      <c r="DK149" s="21"/>
      <c r="DL149" s="21"/>
      <c r="DM149" s="21"/>
      <c r="DN149" s="21"/>
      <c r="DO149" s="21"/>
      <c r="DP149" s="21"/>
      <c r="DQ149" s="21"/>
      <c r="DR149" s="21"/>
      <c r="DS149" s="21"/>
      <c r="DT149" s="21"/>
      <c r="DU149" s="21"/>
    </row>
    <row r="150" spans="1:125" x14ac:dyDescent="0.2">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c r="AZ150" s="21"/>
      <c r="BA150" s="21"/>
      <c r="BB150" s="21"/>
      <c r="BC150" s="21"/>
      <c r="BD150" s="21"/>
      <c r="BE150" s="21"/>
      <c r="BF150" s="21"/>
      <c r="BG150" s="21"/>
      <c r="BH150" s="21"/>
      <c r="BI150" s="21"/>
      <c r="BJ150" s="21"/>
      <c r="BK150" s="21"/>
      <c r="BL150" s="21"/>
      <c r="BM150" s="21"/>
      <c r="BN150" s="21"/>
      <c r="BO150" s="21"/>
      <c r="BP150" s="21"/>
      <c r="BQ150" s="21"/>
      <c r="BR150" s="21"/>
      <c r="BS150" s="21"/>
      <c r="BT150" s="21"/>
      <c r="BU150" s="21"/>
      <c r="BV150" s="21"/>
      <c r="BW150" s="21"/>
      <c r="BX150" s="21"/>
      <c r="BY150" s="21"/>
      <c r="BZ150" s="21"/>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c r="DA150" s="21"/>
      <c r="DB150" s="21"/>
      <c r="DC150" s="21"/>
      <c r="DD150" s="21"/>
      <c r="DE150" s="21"/>
      <c r="DF150" s="21"/>
      <c r="DG150" s="21"/>
      <c r="DH150" s="21"/>
      <c r="DI150" s="21"/>
      <c r="DJ150" s="21"/>
      <c r="DK150" s="21"/>
      <c r="DL150" s="21"/>
      <c r="DM150" s="21"/>
      <c r="DN150" s="21"/>
      <c r="DO150" s="21"/>
      <c r="DP150" s="21"/>
      <c r="DQ150" s="21"/>
      <c r="DR150" s="21"/>
      <c r="DS150" s="21"/>
      <c r="DT150" s="21"/>
      <c r="DU150" s="21"/>
    </row>
    <row r="151" spans="1:125" x14ac:dyDescent="0.2">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c r="AZ151" s="21"/>
      <c r="BA151" s="21"/>
      <c r="BB151" s="21"/>
      <c r="BC151" s="21"/>
      <c r="BD151" s="21"/>
      <c r="BE151" s="21"/>
      <c r="BF151" s="21"/>
      <c r="BG151" s="21"/>
      <c r="BH151" s="21"/>
      <c r="BI151" s="21"/>
      <c r="BJ151" s="21"/>
      <c r="BK151" s="21"/>
      <c r="BL151" s="21"/>
      <c r="BM151" s="21"/>
      <c r="BN151" s="21"/>
      <c r="BO151" s="21"/>
      <c r="BP151" s="21"/>
      <c r="BQ151" s="21"/>
      <c r="BR151" s="21"/>
      <c r="BS151" s="21"/>
      <c r="BT151" s="21"/>
      <c r="BU151" s="21"/>
      <c r="BV151" s="21"/>
      <c r="BW151" s="21"/>
      <c r="BX151" s="21"/>
      <c r="BY151" s="21"/>
      <c r="BZ151" s="21"/>
      <c r="CA151" s="21"/>
      <c r="CB151" s="21"/>
      <c r="CC151" s="21"/>
      <c r="CD151" s="21"/>
      <c r="CE151" s="21"/>
      <c r="CF151" s="21"/>
      <c r="CG151" s="21"/>
      <c r="CH151" s="21"/>
      <c r="CI151" s="21"/>
      <c r="CJ151" s="21"/>
      <c r="CK151" s="21"/>
      <c r="CL151" s="21"/>
      <c r="CM151" s="21"/>
      <c r="CN151" s="21"/>
      <c r="CO151" s="21"/>
      <c r="CP151" s="21"/>
      <c r="CQ151" s="21"/>
      <c r="CR151" s="21"/>
      <c r="CS151" s="21"/>
      <c r="CT151" s="21"/>
      <c r="CU151" s="21"/>
      <c r="CV151" s="21"/>
      <c r="CW151" s="21"/>
      <c r="CX151" s="21"/>
      <c r="CY151" s="21"/>
      <c r="CZ151" s="21"/>
      <c r="DA151" s="21"/>
      <c r="DB151" s="21"/>
      <c r="DC151" s="21"/>
      <c r="DD151" s="21"/>
      <c r="DE151" s="21"/>
      <c r="DF151" s="21"/>
      <c r="DG151" s="21"/>
      <c r="DH151" s="21"/>
      <c r="DI151" s="21"/>
      <c r="DJ151" s="21"/>
      <c r="DK151" s="21"/>
      <c r="DL151" s="21"/>
      <c r="DM151" s="21"/>
      <c r="DN151" s="21"/>
      <c r="DO151" s="21"/>
      <c r="DP151" s="21"/>
      <c r="DQ151" s="21"/>
      <c r="DR151" s="21"/>
      <c r="DS151" s="21"/>
      <c r="DT151" s="21"/>
      <c r="DU151" s="21"/>
    </row>
    <row r="152" spans="1:125" x14ac:dyDescent="0.2">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c r="AZ152" s="21"/>
      <c r="BA152" s="21"/>
      <c r="BB152" s="21"/>
      <c r="BC152" s="21"/>
      <c r="BD152" s="21"/>
      <c r="BE152" s="21"/>
      <c r="BF152" s="21"/>
      <c r="BG152" s="21"/>
      <c r="BH152" s="21"/>
      <c r="BI152" s="21"/>
      <c r="BJ152" s="21"/>
      <c r="BK152" s="21"/>
      <c r="BL152" s="21"/>
      <c r="BM152" s="21"/>
      <c r="BN152" s="21"/>
      <c r="BO152" s="21"/>
      <c r="BP152" s="21"/>
      <c r="BQ152" s="21"/>
      <c r="BR152" s="21"/>
      <c r="BS152" s="21"/>
      <c r="BT152" s="21"/>
      <c r="BU152" s="21"/>
      <c r="BV152" s="21"/>
      <c r="BW152" s="21"/>
      <c r="BX152" s="21"/>
      <c r="BY152" s="21"/>
      <c r="BZ152" s="21"/>
      <c r="CA152" s="21"/>
      <c r="CB152" s="21"/>
      <c r="CC152" s="21"/>
      <c r="CD152" s="21"/>
      <c r="CE152" s="21"/>
      <c r="CF152" s="21"/>
      <c r="CG152" s="21"/>
      <c r="CH152" s="21"/>
      <c r="CI152" s="21"/>
      <c r="CJ152" s="21"/>
      <c r="CK152" s="21"/>
      <c r="CL152" s="21"/>
      <c r="CM152" s="21"/>
      <c r="CN152" s="21"/>
      <c r="CO152" s="21"/>
      <c r="CP152" s="21"/>
      <c r="CQ152" s="21"/>
      <c r="CR152" s="21"/>
      <c r="CS152" s="21"/>
      <c r="CT152" s="21"/>
      <c r="CU152" s="21"/>
      <c r="CV152" s="21"/>
      <c r="CW152" s="21"/>
      <c r="CX152" s="21"/>
      <c r="CY152" s="21"/>
      <c r="CZ152" s="21"/>
      <c r="DA152" s="21"/>
      <c r="DB152" s="21"/>
      <c r="DC152" s="21"/>
      <c r="DD152" s="21"/>
      <c r="DE152" s="21"/>
      <c r="DF152" s="21"/>
      <c r="DG152" s="21"/>
      <c r="DH152" s="21"/>
      <c r="DI152" s="21"/>
      <c r="DJ152" s="21"/>
      <c r="DK152" s="21"/>
      <c r="DL152" s="21"/>
      <c r="DM152" s="21"/>
      <c r="DN152" s="21"/>
      <c r="DO152" s="21"/>
      <c r="DP152" s="21"/>
      <c r="DQ152" s="21"/>
      <c r="DR152" s="21"/>
      <c r="DS152" s="21"/>
      <c r="DT152" s="21"/>
      <c r="DU152" s="21"/>
    </row>
    <row r="153" spans="1:125" x14ac:dyDescent="0.2">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c r="AZ153" s="21"/>
      <c r="BA153" s="21"/>
      <c r="BB153" s="21"/>
      <c r="BC153" s="21"/>
      <c r="BD153" s="21"/>
      <c r="BE153" s="21"/>
      <c r="BF153" s="21"/>
      <c r="BG153" s="21"/>
      <c r="BH153" s="21"/>
      <c r="BI153" s="21"/>
      <c r="BJ153" s="21"/>
      <c r="BK153" s="21"/>
      <c r="BL153" s="21"/>
      <c r="BM153" s="21"/>
      <c r="BN153" s="21"/>
      <c r="BO153" s="21"/>
      <c r="BP153" s="21"/>
      <c r="BQ153" s="21"/>
      <c r="BR153" s="21"/>
      <c r="BS153" s="21"/>
      <c r="BT153" s="21"/>
      <c r="BU153" s="21"/>
      <c r="BV153" s="21"/>
      <c r="BW153" s="21"/>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c r="DA153" s="21"/>
      <c r="DB153" s="21"/>
      <c r="DC153" s="21"/>
      <c r="DD153" s="21"/>
      <c r="DE153" s="21"/>
      <c r="DF153" s="21"/>
      <c r="DG153" s="21"/>
      <c r="DH153" s="21"/>
      <c r="DI153" s="21"/>
      <c r="DJ153" s="21"/>
      <c r="DK153" s="21"/>
      <c r="DL153" s="21"/>
      <c r="DM153" s="21"/>
      <c r="DN153" s="21"/>
      <c r="DO153" s="21"/>
      <c r="DP153" s="21"/>
      <c r="DQ153" s="21"/>
      <c r="DR153" s="21"/>
      <c r="DS153" s="21"/>
      <c r="DT153" s="21"/>
      <c r="DU153" s="21"/>
    </row>
    <row r="154" spans="1:125" x14ac:dyDescent="0.2">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c r="AZ154" s="21"/>
      <c r="BA154" s="21"/>
      <c r="BB154" s="21"/>
      <c r="BC154" s="21"/>
      <c r="BD154" s="21"/>
      <c r="BE154" s="21"/>
      <c r="BF154" s="21"/>
      <c r="BG154" s="21"/>
      <c r="BH154" s="21"/>
      <c r="BI154" s="21"/>
      <c r="BJ154" s="21"/>
      <c r="BK154" s="21"/>
      <c r="BL154" s="21"/>
      <c r="BM154" s="21"/>
      <c r="BN154" s="21"/>
      <c r="BO154" s="21"/>
      <c r="BP154" s="21"/>
      <c r="BQ154" s="21"/>
      <c r="BR154" s="21"/>
      <c r="BS154" s="21"/>
      <c r="BT154" s="21"/>
      <c r="BU154" s="21"/>
      <c r="BV154" s="21"/>
      <c r="BW154" s="21"/>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c r="DA154" s="21"/>
      <c r="DB154" s="21"/>
      <c r="DC154" s="21"/>
      <c r="DD154" s="21"/>
      <c r="DE154" s="21"/>
      <c r="DF154" s="21"/>
      <c r="DG154" s="21"/>
      <c r="DH154" s="21"/>
      <c r="DI154" s="21"/>
      <c r="DJ154" s="21"/>
      <c r="DK154" s="21"/>
      <c r="DL154" s="21"/>
      <c r="DM154" s="21"/>
      <c r="DN154" s="21"/>
      <c r="DO154" s="21"/>
      <c r="DP154" s="21"/>
      <c r="DQ154" s="21"/>
      <c r="DR154" s="21"/>
      <c r="DS154" s="21"/>
      <c r="DT154" s="21"/>
      <c r="DU154" s="21"/>
    </row>
    <row r="155" spans="1:125" x14ac:dyDescent="0.2">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c r="AZ155" s="21"/>
      <c r="BA155" s="21"/>
      <c r="BB155" s="21"/>
      <c r="BC155" s="21"/>
      <c r="BD155" s="21"/>
      <c r="BE155" s="21"/>
      <c r="BF155" s="21"/>
      <c r="BG155" s="21"/>
      <c r="BH155" s="21"/>
      <c r="BI155" s="21"/>
      <c r="BJ155" s="21"/>
      <c r="BK155" s="21"/>
      <c r="BL155" s="21"/>
      <c r="BM155" s="21"/>
      <c r="BN155" s="21"/>
      <c r="BO155" s="21"/>
      <c r="BP155" s="21"/>
      <c r="BQ155" s="21"/>
      <c r="BR155" s="21"/>
      <c r="BS155" s="21"/>
      <c r="BT155" s="21"/>
      <c r="BU155" s="21"/>
      <c r="BV155" s="21"/>
      <c r="BW155" s="21"/>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c r="DA155" s="21"/>
      <c r="DB155" s="21"/>
      <c r="DC155" s="21"/>
      <c r="DD155" s="21"/>
      <c r="DE155" s="21"/>
      <c r="DF155" s="21"/>
      <c r="DG155" s="21"/>
      <c r="DH155" s="21"/>
      <c r="DI155" s="21"/>
      <c r="DJ155" s="21"/>
      <c r="DK155" s="21"/>
      <c r="DL155" s="21"/>
      <c r="DM155" s="21"/>
      <c r="DN155" s="21"/>
      <c r="DO155" s="21"/>
      <c r="DP155" s="21"/>
      <c r="DQ155" s="21"/>
      <c r="DR155" s="21"/>
      <c r="DS155" s="21"/>
      <c r="DT155" s="21"/>
      <c r="DU155" s="21"/>
    </row>
    <row r="156" spans="1:125" x14ac:dyDescent="0.2">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c r="AZ156" s="21"/>
      <c r="BA156" s="21"/>
      <c r="BB156" s="21"/>
      <c r="BC156" s="21"/>
      <c r="BD156" s="21"/>
      <c r="BE156" s="21"/>
      <c r="BF156" s="21"/>
      <c r="BG156" s="21"/>
      <c r="BH156" s="21"/>
      <c r="BI156" s="21"/>
      <c r="BJ156" s="21"/>
      <c r="BK156" s="21"/>
      <c r="BL156" s="21"/>
      <c r="BM156" s="21"/>
      <c r="BN156" s="21"/>
      <c r="BO156" s="21"/>
      <c r="BP156" s="21"/>
      <c r="BQ156" s="21"/>
      <c r="BR156" s="21"/>
      <c r="BS156" s="21"/>
      <c r="BT156" s="21"/>
      <c r="BU156" s="21"/>
      <c r="BV156" s="21"/>
      <c r="BW156" s="21"/>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c r="DA156" s="21"/>
      <c r="DB156" s="21"/>
      <c r="DC156" s="21"/>
      <c r="DD156" s="21"/>
      <c r="DE156" s="21"/>
      <c r="DF156" s="21"/>
      <c r="DG156" s="21"/>
      <c r="DH156" s="21"/>
      <c r="DI156" s="21"/>
      <c r="DJ156" s="21"/>
      <c r="DK156" s="21"/>
      <c r="DL156" s="21"/>
      <c r="DM156" s="21"/>
      <c r="DN156" s="21"/>
      <c r="DO156" s="21"/>
      <c r="DP156" s="21"/>
      <c r="DQ156" s="21"/>
      <c r="DR156" s="21"/>
      <c r="DS156" s="21"/>
      <c r="DT156" s="21"/>
      <c r="DU156" s="21"/>
    </row>
    <row r="157" spans="1:125" x14ac:dyDescent="0.2">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c r="AZ157" s="21"/>
      <c r="BA157" s="21"/>
      <c r="BB157" s="21"/>
      <c r="BC157" s="21"/>
      <c r="BD157" s="21"/>
      <c r="BE157" s="21"/>
      <c r="BF157" s="21"/>
      <c r="BG157" s="21"/>
      <c r="BH157" s="21"/>
      <c r="BI157" s="21"/>
      <c r="BJ157" s="21"/>
      <c r="BK157" s="21"/>
      <c r="BL157" s="21"/>
      <c r="BM157" s="21"/>
      <c r="BN157" s="21"/>
      <c r="BO157" s="21"/>
      <c r="BP157" s="21"/>
      <c r="BQ157" s="21"/>
      <c r="BR157" s="21"/>
      <c r="BS157" s="21"/>
      <c r="BT157" s="21"/>
      <c r="BU157" s="21"/>
      <c r="BV157" s="21"/>
      <c r="BW157" s="21"/>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c r="DA157" s="21"/>
      <c r="DB157" s="21"/>
      <c r="DC157" s="21"/>
      <c r="DD157" s="21"/>
      <c r="DE157" s="21"/>
      <c r="DF157" s="21"/>
      <c r="DG157" s="21"/>
      <c r="DH157" s="21"/>
      <c r="DI157" s="21"/>
      <c r="DJ157" s="21"/>
      <c r="DK157" s="21"/>
      <c r="DL157" s="21"/>
      <c r="DM157" s="21"/>
      <c r="DN157" s="21"/>
      <c r="DO157" s="21"/>
      <c r="DP157" s="21"/>
      <c r="DQ157" s="21"/>
      <c r="DR157" s="21"/>
      <c r="DS157" s="21"/>
      <c r="DT157" s="21"/>
      <c r="DU157" s="21"/>
    </row>
    <row r="158" spans="1:125" x14ac:dyDescent="0.2">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c r="AZ158" s="21"/>
      <c r="BA158" s="21"/>
      <c r="BB158" s="21"/>
      <c r="BC158" s="21"/>
      <c r="BD158" s="21"/>
      <c r="BE158" s="21"/>
      <c r="BF158" s="21"/>
      <c r="BG158" s="21"/>
      <c r="BH158" s="21"/>
      <c r="BI158" s="21"/>
      <c r="BJ158" s="21"/>
      <c r="BK158" s="21"/>
      <c r="BL158" s="21"/>
      <c r="BM158" s="21"/>
      <c r="BN158" s="21"/>
      <c r="BO158" s="21"/>
      <c r="BP158" s="21"/>
      <c r="BQ158" s="21"/>
      <c r="BR158" s="21"/>
      <c r="BS158" s="21"/>
      <c r="BT158" s="21"/>
      <c r="BU158" s="21"/>
      <c r="BV158" s="21"/>
      <c r="BW158" s="21"/>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c r="DA158" s="21"/>
      <c r="DB158" s="21"/>
      <c r="DC158" s="21"/>
      <c r="DD158" s="21"/>
      <c r="DE158" s="21"/>
      <c r="DF158" s="21"/>
      <c r="DG158" s="21"/>
      <c r="DH158" s="21"/>
      <c r="DI158" s="21"/>
      <c r="DJ158" s="21"/>
      <c r="DK158" s="21"/>
      <c r="DL158" s="21"/>
      <c r="DM158" s="21"/>
      <c r="DN158" s="21"/>
      <c r="DO158" s="21"/>
      <c r="DP158" s="21"/>
      <c r="DQ158" s="21"/>
      <c r="DR158" s="21"/>
      <c r="DS158" s="21"/>
      <c r="DT158" s="21"/>
      <c r="DU158" s="21"/>
    </row>
    <row r="159" spans="1:125" x14ac:dyDescent="0.2">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c r="AZ159" s="21"/>
      <c r="BA159" s="21"/>
      <c r="BB159" s="21"/>
      <c r="BC159" s="21"/>
      <c r="BD159" s="21"/>
      <c r="BE159" s="21"/>
      <c r="BF159" s="21"/>
      <c r="BG159" s="21"/>
      <c r="BH159" s="21"/>
      <c r="BI159" s="21"/>
      <c r="BJ159" s="21"/>
      <c r="BK159" s="21"/>
      <c r="BL159" s="21"/>
      <c r="BM159" s="21"/>
      <c r="BN159" s="21"/>
      <c r="BO159" s="21"/>
      <c r="BP159" s="21"/>
      <c r="BQ159" s="21"/>
      <c r="BR159" s="21"/>
      <c r="BS159" s="21"/>
      <c r="BT159" s="21"/>
      <c r="BU159" s="21"/>
      <c r="BV159" s="21"/>
      <c r="BW159" s="21"/>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c r="DA159" s="21"/>
      <c r="DB159" s="21"/>
      <c r="DC159" s="21"/>
      <c r="DD159" s="21"/>
      <c r="DE159" s="21"/>
      <c r="DF159" s="21"/>
      <c r="DG159" s="21"/>
      <c r="DH159" s="21"/>
      <c r="DI159" s="21"/>
      <c r="DJ159" s="21"/>
      <c r="DK159" s="21"/>
      <c r="DL159" s="21"/>
      <c r="DM159" s="21"/>
      <c r="DN159" s="21"/>
      <c r="DO159" s="21"/>
      <c r="DP159" s="21"/>
      <c r="DQ159" s="21"/>
      <c r="DR159" s="21"/>
      <c r="DS159" s="21"/>
      <c r="DT159" s="21"/>
      <c r="DU159" s="21"/>
    </row>
    <row r="160" spans="1:125" x14ac:dyDescent="0.2">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c r="AZ160" s="21"/>
      <c r="BA160" s="21"/>
      <c r="BB160" s="21"/>
      <c r="BC160" s="21"/>
      <c r="BD160" s="21"/>
      <c r="BE160" s="21"/>
      <c r="BF160" s="21"/>
      <c r="BG160" s="21"/>
      <c r="BH160" s="21"/>
      <c r="BI160" s="21"/>
      <c r="BJ160" s="21"/>
      <c r="BK160" s="21"/>
      <c r="BL160" s="21"/>
      <c r="BM160" s="21"/>
      <c r="BN160" s="21"/>
      <c r="BO160" s="21"/>
      <c r="BP160" s="21"/>
      <c r="BQ160" s="21"/>
      <c r="BR160" s="21"/>
      <c r="BS160" s="21"/>
      <c r="BT160" s="21"/>
      <c r="BU160" s="21"/>
      <c r="BV160" s="21"/>
      <c r="BW160" s="21"/>
      <c r="BX160" s="21"/>
      <c r="BY160" s="21"/>
      <c r="BZ160" s="21"/>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c r="DA160" s="21"/>
      <c r="DB160" s="21"/>
      <c r="DC160" s="21"/>
      <c r="DD160" s="21"/>
      <c r="DE160" s="21"/>
      <c r="DF160" s="21"/>
      <c r="DG160" s="21"/>
      <c r="DH160" s="21"/>
      <c r="DI160" s="21"/>
      <c r="DJ160" s="21"/>
      <c r="DK160" s="21"/>
      <c r="DL160" s="21"/>
      <c r="DM160" s="21"/>
      <c r="DN160" s="21"/>
      <c r="DO160" s="21"/>
      <c r="DP160" s="21"/>
      <c r="DQ160" s="21"/>
      <c r="DR160" s="21"/>
      <c r="DS160" s="21"/>
      <c r="DT160" s="21"/>
      <c r="DU160" s="21"/>
    </row>
    <row r="161" spans="1:125" x14ac:dyDescent="0.2">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c r="AN161" s="21"/>
      <c r="AO161" s="21"/>
      <c r="AP161" s="21"/>
      <c r="AQ161" s="21"/>
      <c r="AR161" s="21"/>
      <c r="AS161" s="21"/>
      <c r="AT161" s="21"/>
      <c r="AU161" s="21"/>
      <c r="AV161" s="21"/>
      <c r="AW161" s="21"/>
      <c r="AX161" s="21"/>
      <c r="AY161" s="21"/>
      <c r="AZ161" s="21"/>
      <c r="BA161" s="21"/>
      <c r="BB161" s="21"/>
      <c r="BC161" s="21"/>
      <c r="BD161" s="21"/>
      <c r="BE161" s="21"/>
      <c r="BF161" s="21"/>
      <c r="BG161" s="21"/>
      <c r="BH161" s="21"/>
      <c r="BI161" s="21"/>
      <c r="BJ161" s="21"/>
      <c r="BK161" s="21"/>
      <c r="BL161" s="21"/>
      <c r="BM161" s="21"/>
      <c r="BN161" s="21"/>
      <c r="BO161" s="21"/>
      <c r="BP161" s="21"/>
      <c r="BQ161" s="21"/>
      <c r="BR161" s="21"/>
      <c r="BS161" s="21"/>
      <c r="BT161" s="21"/>
      <c r="BU161" s="21"/>
      <c r="BV161" s="21"/>
      <c r="BW161" s="21"/>
      <c r="BX161" s="21"/>
      <c r="BY161" s="21"/>
      <c r="BZ161" s="21"/>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c r="DA161" s="21"/>
      <c r="DB161" s="21"/>
      <c r="DC161" s="21"/>
      <c r="DD161" s="21"/>
      <c r="DE161" s="21"/>
      <c r="DF161" s="21"/>
      <c r="DG161" s="21"/>
      <c r="DH161" s="21"/>
      <c r="DI161" s="21"/>
      <c r="DJ161" s="21"/>
      <c r="DK161" s="21"/>
      <c r="DL161" s="21"/>
      <c r="DM161" s="21"/>
      <c r="DN161" s="21"/>
      <c r="DO161" s="21"/>
      <c r="DP161" s="21"/>
      <c r="DQ161" s="21"/>
      <c r="DR161" s="21"/>
      <c r="DS161" s="21"/>
      <c r="DT161" s="21"/>
      <c r="DU161" s="21"/>
    </row>
    <row r="162" spans="1:125" x14ac:dyDescent="0.2">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c r="AZ162" s="21"/>
      <c r="BA162" s="21"/>
      <c r="BB162" s="21"/>
      <c r="BC162" s="21"/>
      <c r="BD162" s="21"/>
      <c r="BE162" s="21"/>
      <c r="BF162" s="21"/>
      <c r="BG162" s="21"/>
      <c r="BH162" s="21"/>
      <c r="BI162" s="21"/>
      <c r="BJ162" s="21"/>
      <c r="BK162" s="21"/>
      <c r="BL162" s="21"/>
      <c r="BM162" s="21"/>
      <c r="BN162" s="21"/>
      <c r="BO162" s="21"/>
      <c r="BP162" s="21"/>
      <c r="BQ162" s="21"/>
      <c r="BR162" s="21"/>
      <c r="BS162" s="21"/>
      <c r="BT162" s="21"/>
      <c r="BU162" s="21"/>
      <c r="BV162" s="21"/>
      <c r="BW162" s="21"/>
      <c r="BX162" s="21"/>
      <c r="BY162" s="21"/>
      <c r="BZ162" s="21"/>
      <c r="CA162" s="21"/>
      <c r="CB162" s="21"/>
      <c r="CC162" s="21"/>
      <c r="CD162" s="21"/>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c r="DA162" s="21"/>
      <c r="DB162" s="21"/>
      <c r="DC162" s="21"/>
      <c r="DD162" s="21"/>
      <c r="DE162" s="21"/>
      <c r="DF162" s="21"/>
      <c r="DG162" s="21"/>
      <c r="DH162" s="21"/>
      <c r="DI162" s="21"/>
      <c r="DJ162" s="21"/>
      <c r="DK162" s="21"/>
      <c r="DL162" s="21"/>
      <c r="DM162" s="21"/>
      <c r="DN162" s="21"/>
      <c r="DO162" s="21"/>
      <c r="DP162" s="21"/>
      <c r="DQ162" s="21"/>
      <c r="DR162" s="21"/>
      <c r="DS162" s="21"/>
      <c r="DT162" s="21"/>
      <c r="DU162" s="21"/>
    </row>
    <row r="163" spans="1:125" x14ac:dyDescent="0.2">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c r="AN163" s="21"/>
      <c r="AO163" s="21"/>
      <c r="AP163" s="21"/>
      <c r="AQ163" s="21"/>
      <c r="AR163" s="21"/>
      <c r="AS163" s="21"/>
      <c r="AT163" s="21"/>
      <c r="AU163" s="21"/>
      <c r="AV163" s="21"/>
      <c r="AW163" s="21"/>
      <c r="AX163" s="21"/>
      <c r="AY163" s="21"/>
      <c r="AZ163" s="21"/>
      <c r="BA163" s="21"/>
      <c r="BB163" s="21"/>
      <c r="BC163" s="21"/>
      <c r="BD163" s="21"/>
      <c r="BE163" s="21"/>
      <c r="BF163" s="21"/>
      <c r="BG163" s="21"/>
      <c r="BH163" s="21"/>
      <c r="BI163" s="21"/>
      <c r="BJ163" s="21"/>
      <c r="BK163" s="21"/>
      <c r="BL163" s="21"/>
      <c r="BM163" s="21"/>
      <c r="BN163" s="21"/>
      <c r="BO163" s="21"/>
      <c r="BP163" s="21"/>
      <c r="BQ163" s="21"/>
      <c r="BR163" s="21"/>
      <c r="BS163" s="21"/>
      <c r="BT163" s="21"/>
      <c r="BU163" s="21"/>
      <c r="BV163" s="21"/>
      <c r="BW163" s="21"/>
      <c r="BX163" s="21"/>
      <c r="BY163" s="21"/>
      <c r="BZ163" s="21"/>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c r="DA163" s="21"/>
      <c r="DB163" s="21"/>
      <c r="DC163" s="21"/>
      <c r="DD163" s="21"/>
      <c r="DE163" s="21"/>
      <c r="DF163" s="21"/>
      <c r="DG163" s="21"/>
      <c r="DH163" s="21"/>
      <c r="DI163" s="21"/>
      <c r="DJ163" s="21"/>
      <c r="DK163" s="21"/>
      <c r="DL163" s="21"/>
      <c r="DM163" s="21"/>
      <c r="DN163" s="21"/>
      <c r="DO163" s="21"/>
      <c r="DP163" s="21"/>
      <c r="DQ163" s="21"/>
      <c r="DR163" s="21"/>
      <c r="DS163" s="21"/>
      <c r="DT163" s="21"/>
      <c r="DU163" s="21"/>
    </row>
    <row r="164" spans="1:125" x14ac:dyDescent="0.2">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c r="AN164" s="21"/>
      <c r="AO164" s="21"/>
      <c r="AP164" s="21"/>
      <c r="AQ164" s="21"/>
      <c r="AR164" s="21"/>
      <c r="AS164" s="21"/>
      <c r="AT164" s="21"/>
      <c r="AU164" s="21"/>
      <c r="AV164" s="21"/>
      <c r="AW164" s="21"/>
      <c r="AX164" s="21"/>
      <c r="AY164" s="21"/>
      <c r="AZ164" s="21"/>
      <c r="BA164" s="21"/>
      <c r="BB164" s="21"/>
      <c r="BC164" s="21"/>
      <c r="BD164" s="21"/>
      <c r="BE164" s="21"/>
      <c r="BF164" s="21"/>
      <c r="BG164" s="21"/>
      <c r="BH164" s="21"/>
      <c r="BI164" s="21"/>
      <c r="BJ164" s="21"/>
      <c r="BK164" s="21"/>
      <c r="BL164" s="21"/>
      <c r="BM164" s="21"/>
      <c r="BN164" s="21"/>
      <c r="BO164" s="21"/>
      <c r="BP164" s="21"/>
      <c r="BQ164" s="21"/>
      <c r="BR164" s="21"/>
      <c r="BS164" s="21"/>
      <c r="BT164" s="21"/>
      <c r="BU164" s="21"/>
      <c r="BV164" s="21"/>
      <c r="BW164" s="21"/>
      <c r="BX164" s="21"/>
      <c r="BY164" s="21"/>
      <c r="BZ164" s="21"/>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c r="DA164" s="21"/>
      <c r="DB164" s="21"/>
      <c r="DC164" s="21"/>
      <c r="DD164" s="21"/>
      <c r="DE164" s="21"/>
      <c r="DF164" s="21"/>
      <c r="DG164" s="21"/>
      <c r="DH164" s="21"/>
      <c r="DI164" s="21"/>
      <c r="DJ164" s="21"/>
      <c r="DK164" s="21"/>
      <c r="DL164" s="21"/>
      <c r="DM164" s="21"/>
      <c r="DN164" s="21"/>
      <c r="DO164" s="21"/>
      <c r="DP164" s="21"/>
      <c r="DQ164" s="21"/>
      <c r="DR164" s="21"/>
      <c r="DS164" s="21"/>
      <c r="DT164" s="21"/>
      <c r="DU164" s="21"/>
    </row>
    <row r="165" spans="1:125" x14ac:dyDescent="0.2">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c r="AN165" s="21"/>
      <c r="AO165" s="21"/>
      <c r="AP165" s="21"/>
      <c r="AQ165" s="21"/>
      <c r="AR165" s="21"/>
      <c r="AS165" s="21"/>
      <c r="AT165" s="21"/>
      <c r="AU165" s="21"/>
      <c r="AV165" s="21"/>
      <c r="AW165" s="21"/>
      <c r="AX165" s="21"/>
      <c r="AY165" s="21"/>
      <c r="AZ165" s="21"/>
      <c r="BA165" s="21"/>
      <c r="BB165" s="21"/>
      <c r="BC165" s="21"/>
      <c r="BD165" s="21"/>
      <c r="BE165" s="21"/>
      <c r="BF165" s="21"/>
      <c r="BG165" s="21"/>
      <c r="BH165" s="21"/>
      <c r="BI165" s="21"/>
      <c r="BJ165" s="21"/>
      <c r="BK165" s="21"/>
      <c r="BL165" s="21"/>
      <c r="BM165" s="21"/>
      <c r="BN165" s="21"/>
      <c r="BO165" s="21"/>
      <c r="BP165" s="21"/>
      <c r="BQ165" s="21"/>
      <c r="BR165" s="21"/>
      <c r="BS165" s="21"/>
      <c r="BT165" s="21"/>
      <c r="BU165" s="21"/>
      <c r="BV165" s="21"/>
      <c r="BW165" s="21"/>
      <c r="BX165" s="21"/>
      <c r="BY165" s="21"/>
      <c r="BZ165" s="21"/>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c r="DA165" s="21"/>
      <c r="DB165" s="21"/>
      <c r="DC165" s="21"/>
      <c r="DD165" s="21"/>
      <c r="DE165" s="21"/>
      <c r="DF165" s="21"/>
      <c r="DG165" s="21"/>
      <c r="DH165" s="21"/>
      <c r="DI165" s="21"/>
      <c r="DJ165" s="21"/>
      <c r="DK165" s="21"/>
      <c r="DL165" s="21"/>
      <c r="DM165" s="21"/>
      <c r="DN165" s="21"/>
      <c r="DO165" s="21"/>
      <c r="DP165" s="21"/>
      <c r="DQ165" s="21"/>
      <c r="DR165" s="21"/>
      <c r="DS165" s="21"/>
      <c r="DT165" s="21"/>
      <c r="DU165" s="21"/>
    </row>
    <row r="166" spans="1:125" x14ac:dyDescent="0.2">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21"/>
      <c r="AS166" s="21"/>
      <c r="AT166" s="21"/>
      <c r="AU166" s="21"/>
      <c r="AV166" s="21"/>
      <c r="AW166" s="21"/>
      <c r="AX166" s="21"/>
      <c r="AY166" s="21"/>
      <c r="AZ166" s="21"/>
      <c r="BA166" s="21"/>
      <c r="BB166" s="21"/>
      <c r="BC166" s="21"/>
      <c r="BD166" s="21"/>
      <c r="BE166" s="21"/>
      <c r="BF166" s="21"/>
      <c r="BG166" s="21"/>
      <c r="BH166" s="21"/>
      <c r="BI166" s="21"/>
      <c r="BJ166" s="21"/>
      <c r="BK166" s="21"/>
      <c r="BL166" s="21"/>
      <c r="BM166" s="21"/>
      <c r="BN166" s="21"/>
      <c r="BO166" s="21"/>
      <c r="BP166" s="21"/>
      <c r="BQ166" s="21"/>
      <c r="BR166" s="21"/>
      <c r="BS166" s="21"/>
      <c r="BT166" s="21"/>
      <c r="BU166" s="21"/>
      <c r="BV166" s="21"/>
      <c r="BW166" s="21"/>
      <c r="BX166" s="21"/>
      <c r="BY166" s="21"/>
      <c r="BZ166" s="21"/>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c r="DA166" s="21"/>
      <c r="DB166" s="21"/>
      <c r="DC166" s="21"/>
      <c r="DD166" s="21"/>
      <c r="DE166" s="21"/>
      <c r="DF166" s="21"/>
      <c r="DG166" s="21"/>
      <c r="DH166" s="21"/>
      <c r="DI166" s="21"/>
      <c r="DJ166" s="21"/>
      <c r="DK166" s="21"/>
      <c r="DL166" s="21"/>
      <c r="DM166" s="21"/>
      <c r="DN166" s="21"/>
      <c r="DO166" s="21"/>
      <c r="DP166" s="21"/>
      <c r="DQ166" s="21"/>
      <c r="DR166" s="21"/>
      <c r="DS166" s="21"/>
      <c r="DT166" s="21"/>
      <c r="DU166" s="21"/>
    </row>
    <row r="167" spans="1:125" x14ac:dyDescent="0.2">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21"/>
      <c r="AS167" s="21"/>
      <c r="AT167" s="21"/>
      <c r="AU167" s="21"/>
      <c r="AV167" s="21"/>
      <c r="AW167" s="21"/>
      <c r="AX167" s="21"/>
      <c r="AY167" s="21"/>
      <c r="AZ167" s="21"/>
      <c r="BA167" s="21"/>
      <c r="BB167" s="21"/>
      <c r="BC167" s="21"/>
      <c r="BD167" s="21"/>
      <c r="BE167" s="21"/>
      <c r="BF167" s="21"/>
      <c r="BG167" s="21"/>
      <c r="BH167" s="21"/>
      <c r="BI167" s="21"/>
      <c r="BJ167" s="21"/>
      <c r="BK167" s="21"/>
      <c r="BL167" s="21"/>
      <c r="BM167" s="21"/>
      <c r="BN167" s="21"/>
      <c r="BO167" s="21"/>
      <c r="BP167" s="21"/>
      <c r="BQ167" s="21"/>
      <c r="BR167" s="21"/>
      <c r="BS167" s="21"/>
      <c r="BT167" s="21"/>
      <c r="BU167" s="21"/>
      <c r="BV167" s="21"/>
      <c r="BW167" s="21"/>
      <c r="BX167" s="21"/>
      <c r="BY167" s="21"/>
      <c r="BZ167" s="21"/>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c r="DA167" s="21"/>
      <c r="DB167" s="21"/>
      <c r="DC167" s="21"/>
      <c r="DD167" s="21"/>
      <c r="DE167" s="21"/>
      <c r="DF167" s="21"/>
      <c r="DG167" s="21"/>
      <c r="DH167" s="21"/>
      <c r="DI167" s="21"/>
      <c r="DJ167" s="21"/>
      <c r="DK167" s="21"/>
      <c r="DL167" s="21"/>
      <c r="DM167" s="21"/>
      <c r="DN167" s="21"/>
      <c r="DO167" s="21"/>
      <c r="DP167" s="21"/>
      <c r="DQ167" s="21"/>
      <c r="DR167" s="21"/>
      <c r="DS167" s="21"/>
      <c r="DT167" s="21"/>
      <c r="DU167" s="21"/>
    </row>
    <row r="168" spans="1:125" x14ac:dyDescent="0.2">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c r="AW168" s="21"/>
      <c r="AX168" s="21"/>
      <c r="AY168" s="21"/>
      <c r="AZ168" s="21"/>
      <c r="BA168" s="21"/>
      <c r="BB168" s="21"/>
      <c r="BC168" s="21"/>
      <c r="BD168" s="21"/>
      <c r="BE168" s="21"/>
      <c r="BF168" s="21"/>
      <c r="BG168" s="21"/>
      <c r="BH168" s="21"/>
      <c r="BI168" s="21"/>
      <c r="BJ168" s="21"/>
      <c r="BK168" s="21"/>
      <c r="BL168" s="21"/>
      <c r="BM168" s="21"/>
      <c r="BN168" s="21"/>
      <c r="BO168" s="21"/>
      <c r="BP168" s="21"/>
      <c r="BQ168" s="21"/>
      <c r="BR168" s="21"/>
      <c r="BS168" s="21"/>
      <c r="BT168" s="21"/>
      <c r="BU168" s="21"/>
      <c r="BV168" s="21"/>
      <c r="BW168" s="21"/>
      <c r="BX168" s="21"/>
      <c r="BY168" s="21"/>
      <c r="BZ168" s="21"/>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c r="DA168" s="21"/>
      <c r="DB168" s="21"/>
      <c r="DC168" s="21"/>
      <c r="DD168" s="21"/>
      <c r="DE168" s="21"/>
      <c r="DF168" s="21"/>
      <c r="DG168" s="21"/>
      <c r="DH168" s="21"/>
      <c r="DI168" s="21"/>
      <c r="DJ168" s="21"/>
      <c r="DK168" s="21"/>
      <c r="DL168" s="21"/>
      <c r="DM168" s="21"/>
      <c r="DN168" s="21"/>
      <c r="DO168" s="21"/>
      <c r="DP168" s="21"/>
      <c r="DQ168" s="21"/>
      <c r="DR168" s="21"/>
      <c r="DS168" s="21"/>
      <c r="DT168" s="21"/>
      <c r="DU168" s="21"/>
    </row>
    <row r="169" spans="1:125" x14ac:dyDescent="0.2">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21"/>
      <c r="AS169" s="21"/>
      <c r="AT169" s="21"/>
      <c r="AU169" s="21"/>
      <c r="AV169" s="21"/>
      <c r="AW169" s="21"/>
      <c r="AX169" s="21"/>
      <c r="AY169" s="21"/>
      <c r="AZ169" s="21"/>
      <c r="BA169" s="21"/>
      <c r="BB169" s="21"/>
      <c r="BC169" s="21"/>
      <c r="BD169" s="21"/>
      <c r="BE169" s="21"/>
      <c r="BF169" s="21"/>
      <c r="BG169" s="21"/>
      <c r="BH169" s="21"/>
      <c r="BI169" s="21"/>
      <c r="BJ169" s="21"/>
      <c r="BK169" s="21"/>
      <c r="BL169" s="21"/>
      <c r="BM169" s="21"/>
      <c r="BN169" s="21"/>
      <c r="BO169" s="21"/>
      <c r="BP169" s="21"/>
      <c r="BQ169" s="21"/>
      <c r="BR169" s="21"/>
      <c r="BS169" s="21"/>
      <c r="BT169" s="21"/>
      <c r="BU169" s="21"/>
      <c r="BV169" s="21"/>
      <c r="BW169" s="21"/>
      <c r="BX169" s="21"/>
      <c r="BY169" s="21"/>
      <c r="BZ169" s="21"/>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c r="DA169" s="21"/>
      <c r="DB169" s="21"/>
      <c r="DC169" s="21"/>
      <c r="DD169" s="21"/>
      <c r="DE169" s="21"/>
      <c r="DF169" s="21"/>
      <c r="DG169" s="21"/>
      <c r="DH169" s="21"/>
      <c r="DI169" s="21"/>
      <c r="DJ169" s="21"/>
      <c r="DK169" s="21"/>
      <c r="DL169" s="21"/>
      <c r="DM169" s="21"/>
      <c r="DN169" s="21"/>
      <c r="DO169" s="21"/>
      <c r="DP169" s="21"/>
      <c r="DQ169" s="21"/>
      <c r="DR169" s="21"/>
      <c r="DS169" s="21"/>
      <c r="DT169" s="21"/>
      <c r="DU169" s="21"/>
    </row>
    <row r="170" spans="1:125" x14ac:dyDescent="0.2">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21"/>
      <c r="AS170" s="21"/>
      <c r="AT170" s="21"/>
      <c r="AU170" s="21"/>
      <c r="AV170" s="21"/>
      <c r="AW170" s="21"/>
      <c r="AX170" s="21"/>
      <c r="AY170" s="21"/>
      <c r="AZ170" s="21"/>
      <c r="BA170" s="21"/>
      <c r="BB170" s="21"/>
      <c r="BC170" s="21"/>
      <c r="BD170" s="21"/>
      <c r="BE170" s="21"/>
      <c r="BF170" s="21"/>
      <c r="BG170" s="21"/>
      <c r="BH170" s="21"/>
      <c r="BI170" s="21"/>
      <c r="BJ170" s="21"/>
      <c r="BK170" s="21"/>
      <c r="BL170" s="21"/>
      <c r="BM170" s="21"/>
      <c r="BN170" s="21"/>
      <c r="BO170" s="21"/>
      <c r="BP170" s="21"/>
      <c r="BQ170" s="21"/>
      <c r="BR170" s="21"/>
      <c r="BS170" s="21"/>
      <c r="BT170" s="21"/>
      <c r="BU170" s="21"/>
      <c r="BV170" s="21"/>
      <c r="BW170" s="21"/>
      <c r="BX170" s="21"/>
      <c r="BY170" s="21"/>
      <c r="BZ170" s="21"/>
      <c r="CA170" s="21"/>
      <c r="CB170" s="21"/>
      <c r="CC170" s="21"/>
      <c r="CD170" s="21"/>
      <c r="CE170" s="21"/>
      <c r="CF170" s="21"/>
      <c r="CG170" s="21"/>
      <c r="CH170" s="21"/>
      <c r="CI170" s="21"/>
      <c r="CJ170" s="21"/>
      <c r="CK170" s="21"/>
      <c r="CL170" s="21"/>
      <c r="CM170" s="21"/>
      <c r="CN170" s="21"/>
      <c r="CO170" s="21"/>
      <c r="CP170" s="21"/>
      <c r="CQ170" s="21"/>
      <c r="CR170" s="21"/>
      <c r="CS170" s="21"/>
      <c r="CT170" s="21"/>
      <c r="CU170" s="21"/>
      <c r="CV170" s="21"/>
      <c r="CW170" s="21"/>
      <c r="CX170" s="21"/>
      <c r="CY170" s="21"/>
      <c r="CZ170" s="21"/>
      <c r="DA170" s="21"/>
      <c r="DB170" s="21"/>
      <c r="DC170" s="21"/>
      <c r="DD170" s="21"/>
      <c r="DE170" s="21"/>
      <c r="DF170" s="21"/>
      <c r="DG170" s="21"/>
      <c r="DH170" s="21"/>
      <c r="DI170" s="21"/>
      <c r="DJ170" s="21"/>
      <c r="DK170" s="21"/>
      <c r="DL170" s="21"/>
      <c r="DM170" s="21"/>
      <c r="DN170" s="21"/>
      <c r="DO170" s="21"/>
      <c r="DP170" s="21"/>
      <c r="DQ170" s="21"/>
      <c r="DR170" s="21"/>
      <c r="DS170" s="21"/>
      <c r="DT170" s="21"/>
      <c r="DU170" s="21"/>
    </row>
    <row r="171" spans="1:125" x14ac:dyDescent="0.2">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21"/>
      <c r="AS171" s="21"/>
      <c r="AT171" s="21"/>
      <c r="AU171" s="21"/>
      <c r="AV171" s="21"/>
      <c r="AW171" s="21"/>
      <c r="AX171" s="21"/>
      <c r="AY171" s="21"/>
      <c r="AZ171" s="21"/>
      <c r="BA171" s="21"/>
      <c r="BB171" s="21"/>
      <c r="BC171" s="21"/>
      <c r="BD171" s="21"/>
      <c r="BE171" s="21"/>
      <c r="BF171" s="21"/>
      <c r="BG171" s="21"/>
      <c r="BH171" s="21"/>
      <c r="BI171" s="21"/>
      <c r="BJ171" s="21"/>
      <c r="BK171" s="21"/>
      <c r="BL171" s="21"/>
      <c r="BM171" s="21"/>
      <c r="BN171" s="21"/>
      <c r="BO171" s="21"/>
      <c r="BP171" s="21"/>
      <c r="BQ171" s="21"/>
      <c r="BR171" s="21"/>
      <c r="BS171" s="21"/>
      <c r="BT171" s="21"/>
      <c r="BU171" s="21"/>
      <c r="BV171" s="21"/>
      <c r="BW171" s="21"/>
      <c r="BX171" s="21"/>
      <c r="BY171" s="21"/>
      <c r="BZ171" s="21"/>
      <c r="CA171" s="21"/>
      <c r="CB171" s="21"/>
      <c r="CC171" s="21"/>
      <c r="CD171" s="21"/>
      <c r="CE171" s="21"/>
      <c r="CF171" s="21"/>
      <c r="CG171" s="21"/>
      <c r="CH171" s="21"/>
      <c r="CI171" s="21"/>
      <c r="CJ171" s="21"/>
      <c r="CK171" s="21"/>
      <c r="CL171" s="21"/>
      <c r="CM171" s="21"/>
      <c r="CN171" s="21"/>
      <c r="CO171" s="21"/>
      <c r="CP171" s="21"/>
      <c r="CQ171" s="21"/>
      <c r="CR171" s="21"/>
      <c r="CS171" s="21"/>
      <c r="CT171" s="21"/>
      <c r="CU171" s="21"/>
      <c r="CV171" s="21"/>
      <c r="CW171" s="21"/>
      <c r="CX171" s="21"/>
      <c r="CY171" s="21"/>
      <c r="CZ171" s="21"/>
      <c r="DA171" s="21"/>
      <c r="DB171" s="21"/>
      <c r="DC171" s="21"/>
      <c r="DD171" s="21"/>
      <c r="DE171" s="21"/>
      <c r="DF171" s="21"/>
      <c r="DG171" s="21"/>
      <c r="DH171" s="21"/>
      <c r="DI171" s="21"/>
      <c r="DJ171" s="21"/>
      <c r="DK171" s="21"/>
      <c r="DL171" s="21"/>
      <c r="DM171" s="21"/>
      <c r="DN171" s="21"/>
      <c r="DO171" s="21"/>
      <c r="DP171" s="21"/>
      <c r="DQ171" s="21"/>
      <c r="DR171" s="21"/>
      <c r="DS171" s="21"/>
      <c r="DT171" s="21"/>
      <c r="DU171" s="21"/>
    </row>
    <row r="172" spans="1:125" x14ac:dyDescent="0.2">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21"/>
      <c r="AS172" s="21"/>
      <c r="AT172" s="21"/>
      <c r="AU172" s="21"/>
      <c r="AV172" s="21"/>
      <c r="AW172" s="21"/>
      <c r="AX172" s="21"/>
      <c r="AY172" s="21"/>
      <c r="AZ172" s="21"/>
      <c r="BA172" s="21"/>
      <c r="BB172" s="21"/>
      <c r="BC172" s="21"/>
      <c r="BD172" s="21"/>
      <c r="BE172" s="21"/>
      <c r="BF172" s="21"/>
      <c r="BG172" s="21"/>
      <c r="BH172" s="21"/>
      <c r="BI172" s="21"/>
      <c r="BJ172" s="21"/>
      <c r="BK172" s="21"/>
      <c r="BL172" s="21"/>
      <c r="BM172" s="21"/>
      <c r="BN172" s="21"/>
      <c r="BO172" s="21"/>
      <c r="BP172" s="21"/>
      <c r="BQ172" s="21"/>
      <c r="BR172" s="21"/>
      <c r="BS172" s="21"/>
      <c r="BT172" s="21"/>
      <c r="BU172" s="21"/>
      <c r="BV172" s="21"/>
      <c r="BW172" s="21"/>
      <c r="BX172" s="21"/>
      <c r="BY172" s="21"/>
      <c r="BZ172" s="21"/>
      <c r="CA172" s="21"/>
      <c r="CB172" s="21"/>
      <c r="CC172" s="21"/>
      <c r="CD172" s="21"/>
      <c r="CE172" s="21"/>
      <c r="CF172" s="21"/>
      <c r="CG172" s="21"/>
      <c r="CH172" s="21"/>
      <c r="CI172" s="21"/>
      <c r="CJ172" s="21"/>
      <c r="CK172" s="21"/>
      <c r="CL172" s="21"/>
      <c r="CM172" s="21"/>
      <c r="CN172" s="21"/>
      <c r="CO172" s="21"/>
      <c r="CP172" s="21"/>
      <c r="CQ172" s="21"/>
      <c r="CR172" s="21"/>
      <c r="CS172" s="21"/>
      <c r="CT172" s="21"/>
      <c r="CU172" s="21"/>
      <c r="CV172" s="21"/>
      <c r="CW172" s="21"/>
      <c r="CX172" s="21"/>
      <c r="CY172" s="21"/>
      <c r="CZ172" s="21"/>
      <c r="DA172" s="21"/>
      <c r="DB172" s="21"/>
      <c r="DC172" s="21"/>
      <c r="DD172" s="21"/>
      <c r="DE172" s="21"/>
      <c r="DF172" s="21"/>
      <c r="DG172" s="21"/>
      <c r="DH172" s="21"/>
      <c r="DI172" s="21"/>
      <c r="DJ172" s="21"/>
      <c r="DK172" s="21"/>
      <c r="DL172" s="21"/>
      <c r="DM172" s="21"/>
      <c r="DN172" s="21"/>
      <c r="DO172" s="21"/>
      <c r="DP172" s="21"/>
      <c r="DQ172" s="21"/>
      <c r="DR172" s="21"/>
      <c r="DS172" s="21"/>
      <c r="DT172" s="21"/>
      <c r="DU172" s="21"/>
    </row>
    <row r="173" spans="1:125" x14ac:dyDescent="0.2">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21"/>
      <c r="AS173" s="21"/>
      <c r="AT173" s="21"/>
      <c r="AU173" s="21"/>
      <c r="AV173" s="21"/>
      <c r="AW173" s="21"/>
      <c r="AX173" s="21"/>
      <c r="AY173" s="21"/>
      <c r="AZ173" s="21"/>
      <c r="BA173" s="21"/>
      <c r="BB173" s="21"/>
      <c r="BC173" s="21"/>
      <c r="BD173" s="21"/>
      <c r="BE173" s="21"/>
      <c r="BF173" s="21"/>
      <c r="BG173" s="21"/>
      <c r="BH173" s="21"/>
      <c r="BI173" s="21"/>
      <c r="BJ173" s="21"/>
      <c r="BK173" s="21"/>
      <c r="BL173" s="21"/>
      <c r="BM173" s="21"/>
      <c r="BN173" s="21"/>
      <c r="BO173" s="21"/>
      <c r="BP173" s="21"/>
      <c r="BQ173" s="21"/>
      <c r="BR173" s="21"/>
      <c r="BS173" s="21"/>
      <c r="BT173" s="21"/>
      <c r="BU173" s="21"/>
      <c r="BV173" s="21"/>
      <c r="BW173" s="21"/>
      <c r="BX173" s="21"/>
      <c r="BY173" s="21"/>
      <c r="BZ173" s="21"/>
      <c r="CA173" s="21"/>
      <c r="CB173" s="21"/>
      <c r="CC173" s="21"/>
      <c r="CD173" s="21"/>
      <c r="CE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c r="DA173" s="21"/>
      <c r="DB173" s="21"/>
      <c r="DC173" s="21"/>
      <c r="DD173" s="21"/>
      <c r="DE173" s="21"/>
      <c r="DF173" s="21"/>
      <c r="DG173" s="21"/>
      <c r="DH173" s="21"/>
      <c r="DI173" s="21"/>
      <c r="DJ173" s="21"/>
      <c r="DK173" s="21"/>
      <c r="DL173" s="21"/>
      <c r="DM173" s="21"/>
      <c r="DN173" s="21"/>
      <c r="DO173" s="21"/>
      <c r="DP173" s="21"/>
      <c r="DQ173" s="21"/>
      <c r="DR173" s="21"/>
      <c r="DS173" s="21"/>
      <c r="DT173" s="21"/>
      <c r="DU173" s="21"/>
    </row>
    <row r="174" spans="1:125" x14ac:dyDescent="0.2">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21"/>
      <c r="AS174" s="21"/>
      <c r="AT174" s="21"/>
      <c r="AU174" s="21"/>
      <c r="AV174" s="21"/>
      <c r="AW174" s="21"/>
      <c r="AX174" s="21"/>
      <c r="AY174" s="21"/>
      <c r="AZ174" s="21"/>
      <c r="BA174" s="21"/>
      <c r="BB174" s="21"/>
      <c r="BC174" s="21"/>
      <c r="BD174" s="21"/>
      <c r="BE174" s="21"/>
      <c r="BF174" s="21"/>
      <c r="BG174" s="21"/>
      <c r="BH174" s="21"/>
      <c r="BI174" s="21"/>
      <c r="BJ174" s="21"/>
      <c r="BK174" s="21"/>
      <c r="BL174" s="21"/>
      <c r="BM174" s="21"/>
      <c r="BN174" s="21"/>
      <c r="BO174" s="21"/>
      <c r="BP174" s="21"/>
      <c r="BQ174" s="21"/>
      <c r="BR174" s="21"/>
      <c r="BS174" s="21"/>
      <c r="BT174" s="21"/>
      <c r="BU174" s="21"/>
      <c r="BV174" s="21"/>
      <c r="BW174" s="21"/>
      <c r="BX174" s="21"/>
      <c r="BY174" s="21"/>
      <c r="BZ174" s="21"/>
      <c r="CA174" s="21"/>
      <c r="CB174" s="21"/>
      <c r="CC174" s="21"/>
      <c r="CD174" s="21"/>
      <c r="CE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c r="DA174" s="21"/>
      <c r="DB174" s="21"/>
      <c r="DC174" s="21"/>
      <c r="DD174" s="21"/>
      <c r="DE174" s="21"/>
      <c r="DF174" s="21"/>
      <c r="DG174" s="21"/>
      <c r="DH174" s="21"/>
      <c r="DI174" s="21"/>
      <c r="DJ174" s="21"/>
      <c r="DK174" s="21"/>
      <c r="DL174" s="21"/>
      <c r="DM174" s="21"/>
      <c r="DN174" s="21"/>
      <c r="DO174" s="21"/>
      <c r="DP174" s="21"/>
      <c r="DQ174" s="21"/>
      <c r="DR174" s="21"/>
      <c r="DS174" s="21"/>
      <c r="DT174" s="21"/>
      <c r="DU174" s="21"/>
    </row>
    <row r="175" spans="1:125" x14ac:dyDescent="0.2">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21"/>
      <c r="AS175" s="21"/>
      <c r="AT175" s="21"/>
      <c r="AU175" s="21"/>
      <c r="AV175" s="21"/>
      <c r="AW175" s="21"/>
      <c r="AX175" s="21"/>
      <c r="AY175" s="21"/>
      <c r="AZ175" s="21"/>
      <c r="BA175" s="21"/>
      <c r="BB175" s="21"/>
      <c r="BC175" s="21"/>
      <c r="BD175" s="21"/>
      <c r="BE175" s="21"/>
      <c r="BF175" s="21"/>
      <c r="BG175" s="21"/>
      <c r="BH175" s="21"/>
      <c r="BI175" s="21"/>
      <c r="BJ175" s="21"/>
      <c r="BK175" s="21"/>
      <c r="BL175" s="21"/>
      <c r="BM175" s="21"/>
      <c r="BN175" s="21"/>
      <c r="BO175" s="21"/>
      <c r="BP175" s="21"/>
      <c r="BQ175" s="21"/>
      <c r="BR175" s="21"/>
      <c r="BS175" s="21"/>
      <c r="BT175" s="21"/>
      <c r="BU175" s="21"/>
      <c r="BV175" s="21"/>
      <c r="BW175" s="21"/>
      <c r="BX175" s="21"/>
      <c r="BY175" s="21"/>
      <c r="BZ175" s="21"/>
      <c r="CA175" s="21"/>
      <c r="CB175" s="21"/>
      <c r="CC175" s="21"/>
      <c r="CD175" s="21"/>
      <c r="CE175" s="21"/>
      <c r="CF175" s="21"/>
      <c r="CG175" s="21"/>
      <c r="CH175" s="21"/>
      <c r="CI175" s="21"/>
      <c r="CJ175" s="21"/>
      <c r="CK175" s="21"/>
      <c r="CL175" s="21"/>
      <c r="CM175" s="21"/>
      <c r="CN175" s="21"/>
      <c r="CO175" s="21"/>
      <c r="CP175" s="21"/>
      <c r="CQ175" s="21"/>
      <c r="CR175" s="21"/>
      <c r="CS175" s="21"/>
      <c r="CT175" s="21"/>
      <c r="CU175" s="21"/>
      <c r="CV175" s="21"/>
      <c r="CW175" s="21"/>
      <c r="CX175" s="21"/>
      <c r="CY175" s="21"/>
      <c r="CZ175" s="21"/>
      <c r="DA175" s="21"/>
      <c r="DB175" s="21"/>
      <c r="DC175" s="21"/>
      <c r="DD175" s="21"/>
      <c r="DE175" s="21"/>
      <c r="DF175" s="21"/>
      <c r="DG175" s="21"/>
      <c r="DH175" s="21"/>
      <c r="DI175" s="21"/>
      <c r="DJ175" s="21"/>
      <c r="DK175" s="21"/>
      <c r="DL175" s="21"/>
      <c r="DM175" s="21"/>
      <c r="DN175" s="21"/>
      <c r="DO175" s="21"/>
      <c r="DP175" s="21"/>
      <c r="DQ175" s="21"/>
      <c r="DR175" s="21"/>
      <c r="DS175" s="21"/>
      <c r="DT175" s="21"/>
      <c r="DU175" s="21"/>
    </row>
    <row r="176" spans="1:125" x14ac:dyDescent="0.2">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21"/>
      <c r="AS176" s="21"/>
      <c r="AT176" s="21"/>
      <c r="AU176" s="21"/>
      <c r="AV176" s="21"/>
      <c r="AW176" s="21"/>
      <c r="AX176" s="21"/>
      <c r="AY176" s="21"/>
      <c r="AZ176" s="21"/>
      <c r="BA176" s="21"/>
      <c r="BB176" s="21"/>
      <c r="BC176" s="21"/>
      <c r="BD176" s="21"/>
      <c r="BE176" s="21"/>
      <c r="BF176" s="21"/>
      <c r="BG176" s="21"/>
      <c r="BH176" s="21"/>
      <c r="BI176" s="21"/>
      <c r="BJ176" s="21"/>
      <c r="BK176" s="21"/>
      <c r="BL176" s="21"/>
      <c r="BM176" s="21"/>
      <c r="BN176" s="21"/>
      <c r="BO176" s="21"/>
      <c r="BP176" s="21"/>
      <c r="BQ176" s="21"/>
      <c r="BR176" s="21"/>
      <c r="BS176" s="21"/>
      <c r="BT176" s="21"/>
      <c r="BU176" s="21"/>
      <c r="BV176" s="21"/>
      <c r="BW176" s="21"/>
      <c r="BX176" s="21"/>
      <c r="BY176" s="21"/>
      <c r="BZ176" s="21"/>
      <c r="CA176" s="21"/>
      <c r="CB176" s="21"/>
      <c r="CC176" s="21"/>
      <c r="CD176" s="21"/>
      <c r="CE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c r="DA176" s="21"/>
      <c r="DB176" s="21"/>
      <c r="DC176" s="21"/>
      <c r="DD176" s="21"/>
      <c r="DE176" s="21"/>
      <c r="DF176" s="21"/>
      <c r="DG176" s="21"/>
      <c r="DH176" s="21"/>
      <c r="DI176" s="21"/>
      <c r="DJ176" s="21"/>
      <c r="DK176" s="21"/>
      <c r="DL176" s="21"/>
      <c r="DM176" s="21"/>
      <c r="DN176" s="21"/>
      <c r="DO176" s="21"/>
      <c r="DP176" s="21"/>
      <c r="DQ176" s="21"/>
      <c r="DR176" s="21"/>
      <c r="DS176" s="21"/>
      <c r="DT176" s="21"/>
      <c r="DU176" s="21"/>
    </row>
    <row r="177" spans="1:125" x14ac:dyDescent="0.2">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c r="BM177" s="21"/>
      <c r="BN177" s="21"/>
      <c r="BO177" s="21"/>
      <c r="BP177" s="21"/>
      <c r="BQ177" s="21"/>
      <c r="BR177" s="21"/>
      <c r="BS177" s="21"/>
      <c r="BT177" s="21"/>
      <c r="BU177" s="21"/>
      <c r="BV177" s="21"/>
      <c r="BW177" s="21"/>
      <c r="BX177" s="21"/>
      <c r="BY177" s="21"/>
      <c r="BZ177" s="21"/>
      <c r="CA177" s="21"/>
      <c r="CB177" s="21"/>
      <c r="CC177" s="21"/>
      <c r="CD177" s="21"/>
      <c r="CE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c r="DA177" s="21"/>
      <c r="DB177" s="21"/>
      <c r="DC177" s="21"/>
      <c r="DD177" s="21"/>
      <c r="DE177" s="21"/>
      <c r="DF177" s="21"/>
      <c r="DG177" s="21"/>
      <c r="DH177" s="21"/>
      <c r="DI177" s="21"/>
      <c r="DJ177" s="21"/>
      <c r="DK177" s="21"/>
      <c r="DL177" s="21"/>
      <c r="DM177" s="21"/>
      <c r="DN177" s="21"/>
      <c r="DO177" s="21"/>
      <c r="DP177" s="21"/>
      <c r="DQ177" s="21"/>
      <c r="DR177" s="21"/>
      <c r="DS177" s="21"/>
      <c r="DT177" s="21"/>
      <c r="DU177" s="21"/>
    </row>
    <row r="178" spans="1:125" x14ac:dyDescent="0.2">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21"/>
      <c r="AS178" s="21"/>
      <c r="AT178" s="21"/>
      <c r="AU178" s="21"/>
      <c r="AV178" s="21"/>
      <c r="AW178" s="21"/>
      <c r="AX178" s="21"/>
      <c r="AY178" s="21"/>
      <c r="AZ178" s="21"/>
      <c r="BA178" s="21"/>
      <c r="BB178" s="21"/>
      <c r="BC178" s="21"/>
      <c r="BD178" s="21"/>
      <c r="BE178" s="21"/>
      <c r="BF178" s="21"/>
      <c r="BG178" s="21"/>
      <c r="BH178" s="21"/>
      <c r="BI178" s="21"/>
      <c r="BJ178" s="21"/>
      <c r="BK178" s="21"/>
      <c r="BL178" s="21"/>
      <c r="BM178" s="21"/>
      <c r="BN178" s="21"/>
      <c r="BO178" s="21"/>
      <c r="BP178" s="21"/>
      <c r="BQ178" s="21"/>
      <c r="BR178" s="21"/>
      <c r="BS178" s="21"/>
      <c r="BT178" s="21"/>
      <c r="BU178" s="21"/>
      <c r="BV178" s="21"/>
      <c r="BW178" s="21"/>
      <c r="BX178" s="21"/>
      <c r="BY178" s="21"/>
      <c r="BZ178" s="21"/>
      <c r="CA178" s="21"/>
      <c r="CB178" s="21"/>
      <c r="CC178" s="21"/>
      <c r="CD178" s="21"/>
      <c r="CE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c r="DA178" s="21"/>
      <c r="DB178" s="21"/>
      <c r="DC178" s="21"/>
      <c r="DD178" s="21"/>
      <c r="DE178" s="21"/>
      <c r="DF178" s="21"/>
      <c r="DG178" s="21"/>
      <c r="DH178" s="21"/>
      <c r="DI178" s="21"/>
      <c r="DJ178" s="21"/>
      <c r="DK178" s="21"/>
      <c r="DL178" s="21"/>
      <c r="DM178" s="21"/>
      <c r="DN178" s="21"/>
      <c r="DO178" s="21"/>
      <c r="DP178" s="21"/>
      <c r="DQ178" s="21"/>
      <c r="DR178" s="21"/>
      <c r="DS178" s="21"/>
      <c r="DT178" s="21"/>
      <c r="DU178" s="21"/>
    </row>
    <row r="179" spans="1:125" x14ac:dyDescent="0.2">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21"/>
      <c r="AS179" s="21"/>
      <c r="AT179" s="21"/>
      <c r="AU179" s="21"/>
      <c r="AV179" s="21"/>
      <c r="AW179" s="21"/>
      <c r="AX179" s="21"/>
      <c r="AY179" s="21"/>
      <c r="AZ179" s="21"/>
      <c r="BA179" s="21"/>
      <c r="BB179" s="21"/>
      <c r="BC179" s="21"/>
      <c r="BD179" s="21"/>
      <c r="BE179" s="21"/>
      <c r="BF179" s="21"/>
      <c r="BG179" s="21"/>
      <c r="BH179" s="21"/>
      <c r="BI179" s="21"/>
      <c r="BJ179" s="21"/>
      <c r="BK179" s="21"/>
      <c r="BL179" s="21"/>
      <c r="BM179" s="21"/>
      <c r="BN179" s="21"/>
      <c r="BO179" s="21"/>
      <c r="BP179" s="21"/>
      <c r="BQ179" s="21"/>
      <c r="BR179" s="21"/>
      <c r="BS179" s="21"/>
      <c r="BT179" s="21"/>
      <c r="BU179" s="21"/>
      <c r="BV179" s="21"/>
      <c r="BW179" s="21"/>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c r="DA179" s="21"/>
      <c r="DB179" s="21"/>
      <c r="DC179" s="21"/>
      <c r="DD179" s="21"/>
      <c r="DE179" s="21"/>
      <c r="DF179" s="21"/>
      <c r="DG179" s="21"/>
      <c r="DH179" s="21"/>
      <c r="DI179" s="21"/>
      <c r="DJ179" s="21"/>
      <c r="DK179" s="21"/>
      <c r="DL179" s="21"/>
      <c r="DM179" s="21"/>
      <c r="DN179" s="21"/>
      <c r="DO179" s="21"/>
      <c r="DP179" s="21"/>
      <c r="DQ179" s="21"/>
      <c r="DR179" s="21"/>
      <c r="DS179" s="21"/>
      <c r="DT179" s="21"/>
      <c r="DU179" s="21"/>
    </row>
    <row r="180" spans="1:125" x14ac:dyDescent="0.2">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21"/>
      <c r="AS180" s="21"/>
      <c r="AT180" s="21"/>
      <c r="AU180" s="21"/>
      <c r="AV180" s="21"/>
      <c r="AW180" s="21"/>
      <c r="AX180" s="21"/>
      <c r="AY180" s="21"/>
      <c r="AZ180" s="21"/>
      <c r="BA180" s="21"/>
      <c r="BB180" s="21"/>
      <c r="BC180" s="21"/>
      <c r="BD180" s="21"/>
      <c r="BE180" s="21"/>
      <c r="BF180" s="21"/>
      <c r="BG180" s="21"/>
      <c r="BH180" s="21"/>
      <c r="BI180" s="21"/>
      <c r="BJ180" s="21"/>
      <c r="BK180" s="21"/>
      <c r="BL180" s="21"/>
      <c r="BM180" s="21"/>
      <c r="BN180" s="21"/>
      <c r="BO180" s="21"/>
      <c r="BP180" s="21"/>
      <c r="BQ180" s="21"/>
      <c r="BR180" s="21"/>
      <c r="BS180" s="21"/>
      <c r="BT180" s="21"/>
      <c r="BU180" s="21"/>
      <c r="BV180" s="21"/>
      <c r="BW180" s="21"/>
      <c r="BX180" s="21"/>
      <c r="BY180" s="21"/>
      <c r="BZ180" s="21"/>
      <c r="CA180" s="21"/>
      <c r="CB180" s="21"/>
      <c r="CC180" s="21"/>
      <c r="CD180" s="21"/>
      <c r="CE180" s="21"/>
      <c r="CF180" s="21"/>
      <c r="CG180" s="21"/>
      <c r="CH180" s="21"/>
      <c r="CI180" s="21"/>
      <c r="CJ180" s="21"/>
      <c r="CK180" s="21"/>
      <c r="CL180" s="21"/>
      <c r="CM180" s="21"/>
      <c r="CN180" s="21"/>
      <c r="CO180" s="21"/>
      <c r="CP180" s="21"/>
      <c r="CQ180" s="21"/>
      <c r="CR180" s="21"/>
      <c r="CS180" s="21"/>
      <c r="CT180" s="21"/>
      <c r="CU180" s="21"/>
      <c r="CV180" s="21"/>
      <c r="CW180" s="21"/>
      <c r="CX180" s="21"/>
      <c r="CY180" s="21"/>
      <c r="CZ180" s="21"/>
      <c r="DA180" s="21"/>
      <c r="DB180" s="21"/>
      <c r="DC180" s="21"/>
      <c r="DD180" s="21"/>
      <c r="DE180" s="21"/>
      <c r="DF180" s="21"/>
      <c r="DG180" s="21"/>
      <c r="DH180" s="21"/>
      <c r="DI180" s="21"/>
      <c r="DJ180" s="21"/>
      <c r="DK180" s="21"/>
      <c r="DL180" s="21"/>
      <c r="DM180" s="21"/>
      <c r="DN180" s="21"/>
      <c r="DO180" s="21"/>
      <c r="DP180" s="21"/>
      <c r="DQ180" s="21"/>
      <c r="DR180" s="21"/>
      <c r="DS180" s="21"/>
      <c r="DT180" s="21"/>
      <c r="DU180" s="21"/>
    </row>
    <row r="181" spans="1:125" x14ac:dyDescent="0.2">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21"/>
      <c r="AS181" s="21"/>
      <c r="AT181" s="21"/>
      <c r="AU181" s="21"/>
      <c r="AV181" s="21"/>
      <c r="AW181" s="21"/>
      <c r="AX181" s="21"/>
      <c r="AY181" s="21"/>
      <c r="AZ181" s="21"/>
      <c r="BA181" s="21"/>
      <c r="BB181" s="21"/>
      <c r="BC181" s="21"/>
      <c r="BD181" s="21"/>
      <c r="BE181" s="21"/>
      <c r="BF181" s="21"/>
      <c r="BG181" s="21"/>
      <c r="BH181" s="21"/>
      <c r="BI181" s="21"/>
      <c r="BJ181" s="21"/>
      <c r="BK181" s="21"/>
      <c r="BL181" s="21"/>
      <c r="BM181" s="21"/>
      <c r="BN181" s="21"/>
      <c r="BO181" s="21"/>
      <c r="BP181" s="21"/>
      <c r="BQ181" s="21"/>
      <c r="BR181" s="21"/>
      <c r="BS181" s="21"/>
      <c r="BT181" s="21"/>
      <c r="BU181" s="21"/>
      <c r="BV181" s="21"/>
      <c r="BW181" s="21"/>
      <c r="BX181" s="21"/>
      <c r="BY181" s="21"/>
      <c r="BZ181" s="21"/>
      <c r="CA181" s="21"/>
      <c r="CB181" s="21"/>
      <c r="CC181" s="21"/>
      <c r="CD181" s="21"/>
      <c r="CE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c r="DA181" s="21"/>
      <c r="DB181" s="21"/>
      <c r="DC181" s="21"/>
      <c r="DD181" s="21"/>
      <c r="DE181" s="21"/>
      <c r="DF181" s="21"/>
      <c r="DG181" s="21"/>
      <c r="DH181" s="21"/>
      <c r="DI181" s="21"/>
      <c r="DJ181" s="21"/>
      <c r="DK181" s="21"/>
      <c r="DL181" s="21"/>
      <c r="DM181" s="21"/>
      <c r="DN181" s="21"/>
      <c r="DO181" s="21"/>
      <c r="DP181" s="21"/>
      <c r="DQ181" s="21"/>
      <c r="DR181" s="21"/>
      <c r="DS181" s="21"/>
      <c r="DT181" s="21"/>
      <c r="DU181" s="21"/>
    </row>
    <row r="182" spans="1:125" x14ac:dyDescent="0.2">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21"/>
      <c r="AS182" s="21"/>
      <c r="AT182" s="21"/>
      <c r="AU182" s="21"/>
      <c r="AV182" s="21"/>
      <c r="AW182" s="21"/>
      <c r="AX182" s="21"/>
      <c r="AY182" s="21"/>
      <c r="AZ182" s="21"/>
      <c r="BA182" s="21"/>
      <c r="BB182" s="21"/>
      <c r="BC182" s="21"/>
      <c r="BD182" s="21"/>
      <c r="BE182" s="21"/>
      <c r="BF182" s="21"/>
      <c r="BG182" s="21"/>
      <c r="BH182" s="21"/>
      <c r="BI182" s="21"/>
      <c r="BJ182" s="21"/>
      <c r="BK182" s="21"/>
      <c r="BL182" s="21"/>
      <c r="BM182" s="21"/>
      <c r="BN182" s="21"/>
      <c r="BO182" s="21"/>
      <c r="BP182" s="21"/>
      <c r="BQ182" s="21"/>
      <c r="BR182" s="21"/>
      <c r="BS182" s="21"/>
      <c r="BT182" s="21"/>
      <c r="BU182" s="21"/>
      <c r="BV182" s="21"/>
      <c r="BW182" s="21"/>
      <c r="BX182" s="21"/>
      <c r="BY182" s="21"/>
      <c r="BZ182" s="21"/>
      <c r="CA182" s="21"/>
      <c r="CB182" s="21"/>
      <c r="CC182" s="21"/>
      <c r="CD182" s="21"/>
      <c r="CE182" s="21"/>
      <c r="CF182" s="21"/>
      <c r="CG182" s="21"/>
      <c r="CH182" s="21"/>
      <c r="CI182" s="21"/>
      <c r="CJ182" s="21"/>
      <c r="CK182" s="21"/>
      <c r="CL182" s="21"/>
      <c r="CM182" s="21"/>
      <c r="CN182" s="21"/>
      <c r="CO182" s="21"/>
      <c r="CP182" s="21"/>
      <c r="CQ182" s="21"/>
      <c r="CR182" s="21"/>
      <c r="CS182" s="21"/>
      <c r="CT182" s="21"/>
      <c r="CU182" s="21"/>
      <c r="CV182" s="21"/>
      <c r="CW182" s="21"/>
      <c r="CX182" s="21"/>
      <c r="CY182" s="21"/>
      <c r="CZ182" s="21"/>
      <c r="DA182" s="21"/>
      <c r="DB182" s="21"/>
      <c r="DC182" s="21"/>
      <c r="DD182" s="21"/>
      <c r="DE182" s="21"/>
      <c r="DF182" s="21"/>
      <c r="DG182" s="21"/>
      <c r="DH182" s="21"/>
      <c r="DI182" s="21"/>
      <c r="DJ182" s="21"/>
      <c r="DK182" s="21"/>
      <c r="DL182" s="21"/>
      <c r="DM182" s="21"/>
      <c r="DN182" s="21"/>
      <c r="DO182" s="21"/>
      <c r="DP182" s="21"/>
      <c r="DQ182" s="21"/>
      <c r="DR182" s="21"/>
      <c r="DS182" s="21"/>
      <c r="DT182" s="21"/>
      <c r="DU182" s="21"/>
    </row>
    <row r="183" spans="1:125" x14ac:dyDescent="0.2">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21"/>
      <c r="AS183" s="21"/>
      <c r="AT183" s="21"/>
      <c r="AU183" s="21"/>
      <c r="AV183" s="21"/>
      <c r="AW183" s="21"/>
      <c r="AX183" s="21"/>
      <c r="AY183" s="21"/>
      <c r="AZ183" s="21"/>
      <c r="BA183" s="21"/>
      <c r="BB183" s="21"/>
      <c r="BC183" s="21"/>
      <c r="BD183" s="21"/>
      <c r="BE183" s="21"/>
      <c r="BF183" s="21"/>
      <c r="BG183" s="21"/>
      <c r="BH183" s="21"/>
      <c r="BI183" s="21"/>
      <c r="BJ183" s="21"/>
      <c r="BK183" s="21"/>
      <c r="BL183" s="21"/>
      <c r="BM183" s="21"/>
      <c r="BN183" s="21"/>
      <c r="BO183" s="21"/>
      <c r="BP183" s="21"/>
      <c r="BQ183" s="21"/>
      <c r="BR183" s="21"/>
      <c r="BS183" s="21"/>
      <c r="BT183" s="21"/>
      <c r="BU183" s="21"/>
      <c r="BV183" s="21"/>
      <c r="BW183" s="21"/>
      <c r="BX183" s="21"/>
      <c r="BY183" s="21"/>
      <c r="BZ183" s="21"/>
      <c r="CA183" s="21"/>
      <c r="CB183" s="21"/>
      <c r="CC183" s="21"/>
      <c r="CD183" s="21"/>
      <c r="CE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c r="DA183" s="21"/>
      <c r="DB183" s="21"/>
      <c r="DC183" s="21"/>
      <c r="DD183" s="21"/>
      <c r="DE183" s="21"/>
      <c r="DF183" s="21"/>
      <c r="DG183" s="21"/>
      <c r="DH183" s="21"/>
      <c r="DI183" s="21"/>
      <c r="DJ183" s="21"/>
      <c r="DK183" s="21"/>
      <c r="DL183" s="21"/>
      <c r="DM183" s="21"/>
      <c r="DN183" s="21"/>
      <c r="DO183" s="21"/>
      <c r="DP183" s="21"/>
      <c r="DQ183" s="21"/>
      <c r="DR183" s="21"/>
      <c r="DS183" s="21"/>
      <c r="DT183" s="21"/>
      <c r="DU183" s="21"/>
    </row>
    <row r="184" spans="1:125" x14ac:dyDescent="0.2">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21"/>
      <c r="AS184" s="21"/>
      <c r="AT184" s="21"/>
      <c r="AU184" s="21"/>
      <c r="AV184" s="21"/>
      <c r="AW184" s="21"/>
      <c r="AX184" s="21"/>
      <c r="AY184" s="21"/>
      <c r="AZ184" s="21"/>
      <c r="BA184" s="21"/>
      <c r="BB184" s="21"/>
      <c r="BC184" s="21"/>
      <c r="BD184" s="21"/>
      <c r="BE184" s="21"/>
      <c r="BF184" s="21"/>
      <c r="BG184" s="21"/>
      <c r="BH184" s="21"/>
      <c r="BI184" s="21"/>
      <c r="BJ184" s="21"/>
      <c r="BK184" s="21"/>
      <c r="BL184" s="21"/>
      <c r="BM184" s="21"/>
      <c r="BN184" s="21"/>
      <c r="BO184" s="21"/>
      <c r="BP184" s="21"/>
      <c r="BQ184" s="21"/>
      <c r="BR184" s="21"/>
      <c r="BS184" s="21"/>
      <c r="BT184" s="21"/>
      <c r="BU184" s="21"/>
      <c r="BV184" s="21"/>
      <c r="BW184" s="21"/>
      <c r="BX184" s="21"/>
      <c r="BY184" s="21"/>
      <c r="BZ184" s="21"/>
      <c r="CA184" s="21"/>
      <c r="CB184" s="21"/>
      <c r="CC184" s="21"/>
      <c r="CD184" s="21"/>
      <c r="CE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c r="DA184" s="21"/>
      <c r="DB184" s="21"/>
      <c r="DC184" s="21"/>
      <c r="DD184" s="21"/>
      <c r="DE184" s="21"/>
      <c r="DF184" s="21"/>
      <c r="DG184" s="21"/>
      <c r="DH184" s="21"/>
      <c r="DI184" s="21"/>
      <c r="DJ184" s="21"/>
      <c r="DK184" s="21"/>
      <c r="DL184" s="21"/>
      <c r="DM184" s="21"/>
      <c r="DN184" s="21"/>
      <c r="DO184" s="21"/>
      <c r="DP184" s="21"/>
      <c r="DQ184" s="21"/>
      <c r="DR184" s="21"/>
      <c r="DS184" s="21"/>
      <c r="DT184" s="21"/>
      <c r="DU184" s="21"/>
    </row>
    <row r="185" spans="1:125" x14ac:dyDescent="0.2">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21"/>
      <c r="AS185" s="21"/>
      <c r="AT185" s="21"/>
      <c r="AU185" s="21"/>
      <c r="AV185" s="21"/>
      <c r="AW185" s="21"/>
      <c r="AX185" s="21"/>
      <c r="AY185" s="21"/>
      <c r="AZ185" s="21"/>
      <c r="BA185" s="21"/>
      <c r="BB185" s="21"/>
      <c r="BC185" s="21"/>
      <c r="BD185" s="21"/>
      <c r="BE185" s="21"/>
      <c r="BF185" s="21"/>
      <c r="BG185" s="21"/>
      <c r="BH185" s="21"/>
      <c r="BI185" s="21"/>
      <c r="BJ185" s="21"/>
      <c r="BK185" s="21"/>
      <c r="BL185" s="21"/>
      <c r="BM185" s="21"/>
      <c r="BN185" s="21"/>
      <c r="BO185" s="21"/>
      <c r="BP185" s="21"/>
      <c r="BQ185" s="21"/>
      <c r="BR185" s="21"/>
      <c r="BS185" s="21"/>
      <c r="BT185" s="21"/>
      <c r="BU185" s="21"/>
      <c r="BV185" s="21"/>
      <c r="BW185" s="21"/>
      <c r="BX185" s="21"/>
      <c r="BY185" s="21"/>
      <c r="BZ185" s="21"/>
      <c r="CA185" s="21"/>
      <c r="CB185" s="21"/>
      <c r="CC185" s="21"/>
      <c r="CD185" s="21"/>
      <c r="CE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c r="DA185" s="21"/>
      <c r="DB185" s="21"/>
      <c r="DC185" s="21"/>
      <c r="DD185" s="21"/>
      <c r="DE185" s="21"/>
      <c r="DF185" s="21"/>
      <c r="DG185" s="21"/>
      <c r="DH185" s="21"/>
      <c r="DI185" s="21"/>
      <c r="DJ185" s="21"/>
      <c r="DK185" s="21"/>
      <c r="DL185" s="21"/>
      <c r="DM185" s="21"/>
      <c r="DN185" s="21"/>
      <c r="DO185" s="21"/>
      <c r="DP185" s="21"/>
      <c r="DQ185" s="21"/>
      <c r="DR185" s="21"/>
      <c r="DS185" s="21"/>
      <c r="DT185" s="21"/>
      <c r="DU185" s="21"/>
    </row>
    <row r="186" spans="1:125" x14ac:dyDescent="0.2">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21"/>
      <c r="AS186" s="21"/>
      <c r="AT186" s="21"/>
      <c r="AU186" s="21"/>
      <c r="AV186" s="21"/>
      <c r="AW186" s="21"/>
      <c r="AX186" s="21"/>
      <c r="AY186" s="21"/>
      <c r="AZ186" s="21"/>
      <c r="BA186" s="21"/>
      <c r="BB186" s="21"/>
      <c r="BC186" s="21"/>
      <c r="BD186" s="21"/>
      <c r="BE186" s="21"/>
      <c r="BF186" s="21"/>
      <c r="BG186" s="21"/>
      <c r="BH186" s="21"/>
      <c r="BI186" s="21"/>
      <c r="BJ186" s="21"/>
      <c r="BK186" s="21"/>
      <c r="BL186" s="21"/>
      <c r="BM186" s="21"/>
      <c r="BN186" s="21"/>
      <c r="BO186" s="21"/>
      <c r="BP186" s="21"/>
      <c r="BQ186" s="21"/>
      <c r="BR186" s="21"/>
      <c r="BS186" s="21"/>
      <c r="BT186" s="21"/>
      <c r="BU186" s="21"/>
      <c r="BV186" s="21"/>
      <c r="BW186" s="21"/>
      <c r="BX186" s="21"/>
      <c r="BY186" s="21"/>
      <c r="BZ186" s="21"/>
      <c r="CA186" s="21"/>
      <c r="CB186" s="21"/>
      <c r="CC186" s="21"/>
      <c r="CD186" s="21"/>
      <c r="CE186" s="21"/>
      <c r="CF186" s="21"/>
      <c r="CG186" s="21"/>
      <c r="CH186" s="21"/>
      <c r="CI186" s="21"/>
      <c r="CJ186" s="21"/>
      <c r="CK186" s="21"/>
      <c r="CL186" s="21"/>
      <c r="CM186" s="21"/>
      <c r="CN186" s="21"/>
      <c r="CO186" s="21"/>
      <c r="CP186" s="21"/>
      <c r="CQ186" s="21"/>
      <c r="CR186" s="21"/>
      <c r="CS186" s="21"/>
      <c r="CT186" s="21"/>
      <c r="CU186" s="21"/>
      <c r="CV186" s="21"/>
      <c r="CW186" s="21"/>
      <c r="CX186" s="21"/>
      <c r="CY186" s="21"/>
      <c r="CZ186" s="21"/>
      <c r="DA186" s="21"/>
      <c r="DB186" s="21"/>
      <c r="DC186" s="21"/>
      <c r="DD186" s="21"/>
      <c r="DE186" s="21"/>
      <c r="DF186" s="21"/>
      <c r="DG186" s="21"/>
      <c r="DH186" s="21"/>
      <c r="DI186" s="21"/>
      <c r="DJ186" s="21"/>
      <c r="DK186" s="21"/>
      <c r="DL186" s="21"/>
      <c r="DM186" s="21"/>
      <c r="DN186" s="21"/>
      <c r="DO186" s="21"/>
      <c r="DP186" s="21"/>
      <c r="DQ186" s="21"/>
      <c r="DR186" s="21"/>
      <c r="DS186" s="21"/>
      <c r="DT186" s="21"/>
      <c r="DU186" s="21"/>
    </row>
    <row r="187" spans="1:125" x14ac:dyDescent="0.2">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21"/>
      <c r="AS187" s="21"/>
      <c r="AT187" s="21"/>
      <c r="AU187" s="21"/>
      <c r="AV187" s="21"/>
      <c r="AW187" s="21"/>
      <c r="AX187" s="21"/>
      <c r="AY187" s="21"/>
      <c r="AZ187" s="21"/>
      <c r="BA187" s="21"/>
      <c r="BB187" s="21"/>
      <c r="BC187" s="21"/>
      <c r="BD187" s="21"/>
      <c r="BE187" s="21"/>
      <c r="BF187" s="21"/>
      <c r="BG187" s="21"/>
      <c r="BH187" s="21"/>
      <c r="BI187" s="21"/>
      <c r="BJ187" s="21"/>
      <c r="BK187" s="21"/>
      <c r="BL187" s="21"/>
      <c r="BM187" s="21"/>
      <c r="BN187" s="21"/>
      <c r="BO187" s="21"/>
      <c r="BP187" s="21"/>
      <c r="BQ187" s="21"/>
      <c r="BR187" s="21"/>
      <c r="BS187" s="21"/>
      <c r="BT187" s="21"/>
      <c r="BU187" s="21"/>
      <c r="BV187" s="21"/>
      <c r="BW187" s="21"/>
      <c r="BX187" s="21"/>
      <c r="BY187" s="21"/>
      <c r="BZ187" s="21"/>
      <c r="CA187" s="21"/>
      <c r="CB187" s="21"/>
      <c r="CC187" s="21"/>
      <c r="CD187" s="21"/>
      <c r="CE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c r="DA187" s="21"/>
      <c r="DB187" s="21"/>
      <c r="DC187" s="21"/>
      <c r="DD187" s="21"/>
      <c r="DE187" s="21"/>
      <c r="DF187" s="21"/>
      <c r="DG187" s="21"/>
      <c r="DH187" s="21"/>
      <c r="DI187" s="21"/>
      <c r="DJ187" s="21"/>
      <c r="DK187" s="21"/>
      <c r="DL187" s="21"/>
      <c r="DM187" s="21"/>
      <c r="DN187" s="21"/>
      <c r="DO187" s="21"/>
      <c r="DP187" s="21"/>
      <c r="DQ187" s="21"/>
      <c r="DR187" s="21"/>
      <c r="DS187" s="21"/>
      <c r="DT187" s="21"/>
      <c r="DU187" s="21"/>
    </row>
    <row r="188" spans="1:125" x14ac:dyDescent="0.2">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21"/>
      <c r="AS188" s="21"/>
      <c r="AT188" s="21"/>
      <c r="AU188" s="21"/>
      <c r="AV188" s="21"/>
      <c r="AW188" s="21"/>
      <c r="AX188" s="21"/>
      <c r="AY188" s="21"/>
      <c r="AZ188" s="21"/>
      <c r="BA188" s="21"/>
      <c r="BB188" s="21"/>
      <c r="BC188" s="21"/>
      <c r="BD188" s="21"/>
      <c r="BE188" s="21"/>
      <c r="BF188" s="21"/>
      <c r="BG188" s="21"/>
      <c r="BH188" s="21"/>
      <c r="BI188" s="21"/>
      <c r="BJ188" s="21"/>
      <c r="BK188" s="21"/>
      <c r="BL188" s="21"/>
      <c r="BM188" s="21"/>
      <c r="BN188" s="21"/>
      <c r="BO188" s="21"/>
      <c r="BP188" s="21"/>
      <c r="BQ188" s="21"/>
      <c r="BR188" s="21"/>
      <c r="BS188" s="21"/>
      <c r="BT188" s="21"/>
      <c r="BU188" s="21"/>
      <c r="BV188" s="21"/>
      <c r="BW188" s="21"/>
      <c r="BX188" s="21"/>
      <c r="BY188" s="21"/>
      <c r="BZ188" s="21"/>
      <c r="CA188" s="21"/>
      <c r="CB188" s="21"/>
      <c r="CC188" s="21"/>
      <c r="CD188" s="21"/>
      <c r="CE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c r="DA188" s="21"/>
      <c r="DB188" s="21"/>
      <c r="DC188" s="21"/>
      <c r="DD188" s="21"/>
      <c r="DE188" s="21"/>
      <c r="DF188" s="21"/>
      <c r="DG188" s="21"/>
      <c r="DH188" s="21"/>
      <c r="DI188" s="21"/>
      <c r="DJ188" s="21"/>
      <c r="DK188" s="21"/>
      <c r="DL188" s="21"/>
      <c r="DM188" s="21"/>
      <c r="DN188" s="21"/>
      <c r="DO188" s="21"/>
      <c r="DP188" s="21"/>
      <c r="DQ188" s="21"/>
      <c r="DR188" s="21"/>
      <c r="DS188" s="21"/>
      <c r="DT188" s="21"/>
      <c r="DU188" s="21"/>
    </row>
    <row r="189" spans="1:125" x14ac:dyDescent="0.2">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21"/>
      <c r="AS189" s="21"/>
      <c r="AT189" s="21"/>
      <c r="AU189" s="21"/>
      <c r="AV189" s="21"/>
      <c r="AW189" s="21"/>
      <c r="AX189" s="21"/>
      <c r="AY189" s="21"/>
      <c r="AZ189" s="21"/>
      <c r="BA189" s="21"/>
      <c r="BB189" s="21"/>
      <c r="BC189" s="21"/>
      <c r="BD189" s="21"/>
      <c r="BE189" s="21"/>
      <c r="BF189" s="21"/>
      <c r="BG189" s="21"/>
      <c r="BH189" s="21"/>
      <c r="BI189" s="21"/>
      <c r="BJ189" s="21"/>
      <c r="BK189" s="21"/>
      <c r="BL189" s="21"/>
      <c r="BM189" s="21"/>
      <c r="BN189" s="21"/>
      <c r="BO189" s="21"/>
      <c r="BP189" s="21"/>
      <c r="BQ189" s="21"/>
      <c r="BR189" s="21"/>
      <c r="BS189" s="21"/>
      <c r="BT189" s="21"/>
      <c r="BU189" s="21"/>
      <c r="BV189" s="21"/>
      <c r="BW189" s="21"/>
      <c r="BX189" s="21"/>
      <c r="BY189" s="21"/>
      <c r="BZ189" s="21"/>
      <c r="CA189" s="21"/>
      <c r="CB189" s="21"/>
      <c r="CC189" s="21"/>
      <c r="CD189" s="21"/>
      <c r="CE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c r="DA189" s="21"/>
      <c r="DB189" s="21"/>
      <c r="DC189" s="21"/>
      <c r="DD189" s="21"/>
      <c r="DE189" s="21"/>
      <c r="DF189" s="21"/>
      <c r="DG189" s="21"/>
      <c r="DH189" s="21"/>
      <c r="DI189" s="21"/>
      <c r="DJ189" s="21"/>
      <c r="DK189" s="21"/>
      <c r="DL189" s="21"/>
      <c r="DM189" s="21"/>
      <c r="DN189" s="21"/>
      <c r="DO189" s="21"/>
      <c r="DP189" s="21"/>
      <c r="DQ189" s="21"/>
      <c r="DR189" s="21"/>
      <c r="DS189" s="21"/>
      <c r="DT189" s="21"/>
      <c r="DU189" s="21"/>
    </row>
    <row r="190" spans="1:125" x14ac:dyDescent="0.2">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21"/>
      <c r="AS190" s="21"/>
      <c r="AT190" s="21"/>
      <c r="AU190" s="21"/>
      <c r="AV190" s="21"/>
      <c r="AW190" s="21"/>
      <c r="AX190" s="21"/>
      <c r="AY190" s="21"/>
      <c r="AZ190" s="21"/>
      <c r="BA190" s="21"/>
      <c r="BB190" s="21"/>
      <c r="BC190" s="21"/>
      <c r="BD190" s="21"/>
      <c r="BE190" s="21"/>
      <c r="BF190" s="21"/>
      <c r="BG190" s="21"/>
      <c r="BH190" s="21"/>
      <c r="BI190" s="21"/>
      <c r="BJ190" s="21"/>
      <c r="BK190" s="21"/>
      <c r="BL190" s="21"/>
      <c r="BM190" s="21"/>
      <c r="BN190" s="21"/>
      <c r="BO190" s="21"/>
      <c r="BP190" s="21"/>
      <c r="BQ190" s="21"/>
      <c r="BR190" s="21"/>
      <c r="BS190" s="21"/>
      <c r="BT190" s="21"/>
      <c r="BU190" s="21"/>
      <c r="BV190" s="21"/>
      <c r="BW190" s="21"/>
      <c r="BX190" s="21"/>
      <c r="BY190" s="21"/>
      <c r="BZ190" s="21"/>
      <c r="CA190" s="21"/>
      <c r="CB190" s="21"/>
      <c r="CC190" s="21"/>
      <c r="CD190" s="21"/>
      <c r="CE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c r="DA190" s="21"/>
      <c r="DB190" s="21"/>
      <c r="DC190" s="21"/>
      <c r="DD190" s="21"/>
      <c r="DE190" s="21"/>
      <c r="DF190" s="21"/>
      <c r="DG190" s="21"/>
      <c r="DH190" s="21"/>
      <c r="DI190" s="21"/>
      <c r="DJ190" s="21"/>
      <c r="DK190" s="21"/>
      <c r="DL190" s="21"/>
      <c r="DM190" s="21"/>
      <c r="DN190" s="21"/>
      <c r="DO190" s="21"/>
      <c r="DP190" s="21"/>
      <c r="DQ190" s="21"/>
      <c r="DR190" s="21"/>
      <c r="DS190" s="21"/>
      <c r="DT190" s="21"/>
      <c r="DU190" s="21"/>
    </row>
    <row r="191" spans="1:125" x14ac:dyDescent="0.2">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21"/>
      <c r="AS191" s="21"/>
      <c r="AT191" s="21"/>
      <c r="AU191" s="21"/>
      <c r="AV191" s="21"/>
      <c r="AW191" s="21"/>
      <c r="AX191" s="21"/>
      <c r="AY191" s="21"/>
      <c r="AZ191" s="21"/>
      <c r="BA191" s="21"/>
      <c r="BB191" s="21"/>
      <c r="BC191" s="21"/>
      <c r="BD191" s="21"/>
      <c r="BE191" s="21"/>
      <c r="BF191" s="21"/>
      <c r="BG191" s="21"/>
      <c r="BH191" s="21"/>
      <c r="BI191" s="21"/>
      <c r="BJ191" s="21"/>
      <c r="BK191" s="21"/>
      <c r="BL191" s="21"/>
      <c r="BM191" s="21"/>
      <c r="BN191" s="21"/>
      <c r="BO191" s="21"/>
      <c r="BP191" s="21"/>
      <c r="BQ191" s="21"/>
      <c r="BR191" s="21"/>
      <c r="BS191" s="21"/>
      <c r="BT191" s="21"/>
      <c r="BU191" s="21"/>
      <c r="BV191" s="21"/>
      <c r="BW191" s="21"/>
      <c r="BX191" s="21"/>
      <c r="BY191" s="21"/>
      <c r="BZ191" s="21"/>
      <c r="CA191" s="21"/>
      <c r="CB191" s="21"/>
      <c r="CC191" s="21"/>
      <c r="CD191" s="21"/>
      <c r="CE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c r="DA191" s="21"/>
      <c r="DB191" s="21"/>
      <c r="DC191" s="21"/>
      <c r="DD191" s="21"/>
      <c r="DE191" s="21"/>
      <c r="DF191" s="21"/>
      <c r="DG191" s="21"/>
      <c r="DH191" s="21"/>
      <c r="DI191" s="21"/>
      <c r="DJ191" s="21"/>
      <c r="DK191" s="21"/>
      <c r="DL191" s="21"/>
      <c r="DM191" s="21"/>
      <c r="DN191" s="21"/>
      <c r="DO191" s="21"/>
      <c r="DP191" s="21"/>
      <c r="DQ191" s="21"/>
      <c r="DR191" s="21"/>
      <c r="DS191" s="21"/>
      <c r="DT191" s="21"/>
      <c r="DU191" s="21"/>
    </row>
    <row r="192" spans="1:125" x14ac:dyDescent="0.2">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c r="AZ192" s="21"/>
      <c r="BA192" s="21"/>
      <c r="BB192" s="21"/>
      <c r="BC192" s="21"/>
      <c r="BD192" s="21"/>
      <c r="BE192" s="21"/>
      <c r="BF192" s="21"/>
      <c r="BG192" s="21"/>
      <c r="BH192" s="21"/>
      <c r="BI192" s="21"/>
      <c r="BJ192" s="21"/>
      <c r="BK192" s="21"/>
      <c r="BL192" s="21"/>
      <c r="BM192" s="21"/>
      <c r="BN192" s="21"/>
      <c r="BO192" s="21"/>
      <c r="BP192" s="21"/>
      <c r="BQ192" s="21"/>
      <c r="BR192" s="21"/>
      <c r="BS192" s="21"/>
      <c r="BT192" s="21"/>
      <c r="BU192" s="21"/>
      <c r="BV192" s="21"/>
      <c r="BW192" s="21"/>
      <c r="BX192" s="21"/>
      <c r="BY192" s="21"/>
      <c r="BZ192" s="21"/>
      <c r="CA192" s="21"/>
      <c r="CB192" s="21"/>
      <c r="CC192" s="21"/>
      <c r="CD192" s="21"/>
      <c r="CE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c r="DA192" s="21"/>
      <c r="DB192" s="21"/>
      <c r="DC192" s="21"/>
      <c r="DD192" s="21"/>
      <c r="DE192" s="21"/>
      <c r="DF192" s="21"/>
      <c r="DG192" s="21"/>
      <c r="DH192" s="21"/>
      <c r="DI192" s="21"/>
      <c r="DJ192" s="21"/>
      <c r="DK192" s="21"/>
      <c r="DL192" s="21"/>
      <c r="DM192" s="21"/>
      <c r="DN192" s="21"/>
      <c r="DO192" s="21"/>
      <c r="DP192" s="21"/>
      <c r="DQ192" s="21"/>
      <c r="DR192" s="21"/>
      <c r="DS192" s="21"/>
      <c r="DT192" s="21"/>
      <c r="DU192" s="21"/>
    </row>
    <row r="193" spans="1:125" x14ac:dyDescent="0.2">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21"/>
      <c r="AS193" s="21"/>
      <c r="AT193" s="21"/>
      <c r="AU193" s="21"/>
      <c r="AV193" s="21"/>
      <c r="AW193" s="21"/>
      <c r="AX193" s="21"/>
      <c r="AY193" s="21"/>
      <c r="AZ193" s="21"/>
      <c r="BA193" s="21"/>
      <c r="BB193" s="21"/>
      <c r="BC193" s="21"/>
      <c r="BD193" s="21"/>
      <c r="BE193" s="21"/>
      <c r="BF193" s="21"/>
      <c r="BG193" s="21"/>
      <c r="BH193" s="21"/>
      <c r="BI193" s="21"/>
      <c r="BJ193" s="21"/>
      <c r="BK193" s="21"/>
      <c r="BL193" s="21"/>
      <c r="BM193" s="21"/>
      <c r="BN193" s="21"/>
      <c r="BO193" s="21"/>
      <c r="BP193" s="21"/>
      <c r="BQ193" s="21"/>
      <c r="BR193" s="21"/>
      <c r="BS193" s="21"/>
      <c r="BT193" s="21"/>
      <c r="BU193" s="21"/>
      <c r="BV193" s="21"/>
      <c r="BW193" s="21"/>
      <c r="BX193" s="21"/>
      <c r="BY193" s="21"/>
      <c r="BZ193" s="21"/>
      <c r="CA193" s="21"/>
      <c r="CB193" s="21"/>
      <c r="CC193" s="21"/>
      <c r="CD193" s="21"/>
      <c r="CE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c r="DA193" s="21"/>
      <c r="DB193" s="21"/>
      <c r="DC193" s="21"/>
      <c r="DD193" s="21"/>
      <c r="DE193" s="21"/>
      <c r="DF193" s="21"/>
      <c r="DG193" s="21"/>
      <c r="DH193" s="21"/>
      <c r="DI193" s="21"/>
      <c r="DJ193" s="21"/>
      <c r="DK193" s="21"/>
      <c r="DL193" s="21"/>
      <c r="DM193" s="21"/>
      <c r="DN193" s="21"/>
      <c r="DO193" s="21"/>
      <c r="DP193" s="21"/>
      <c r="DQ193" s="21"/>
      <c r="DR193" s="21"/>
      <c r="DS193" s="21"/>
      <c r="DT193" s="21"/>
      <c r="DU193" s="21"/>
    </row>
    <row r="194" spans="1:125" x14ac:dyDescent="0.2">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21"/>
      <c r="AS194" s="21"/>
      <c r="AT194" s="21"/>
      <c r="AU194" s="21"/>
      <c r="AV194" s="21"/>
      <c r="AW194" s="21"/>
      <c r="AX194" s="21"/>
      <c r="AY194" s="21"/>
      <c r="AZ194" s="21"/>
      <c r="BA194" s="21"/>
      <c r="BB194" s="21"/>
      <c r="BC194" s="21"/>
      <c r="BD194" s="21"/>
      <c r="BE194" s="21"/>
      <c r="BF194" s="21"/>
      <c r="BG194" s="21"/>
      <c r="BH194" s="21"/>
      <c r="BI194" s="21"/>
      <c r="BJ194" s="21"/>
      <c r="BK194" s="21"/>
      <c r="BL194" s="21"/>
      <c r="BM194" s="21"/>
      <c r="BN194" s="21"/>
      <c r="BO194" s="21"/>
      <c r="BP194" s="21"/>
      <c r="BQ194" s="21"/>
      <c r="BR194" s="21"/>
      <c r="BS194" s="21"/>
      <c r="BT194" s="21"/>
      <c r="BU194" s="21"/>
      <c r="BV194" s="21"/>
      <c r="BW194" s="21"/>
      <c r="BX194" s="21"/>
      <c r="BY194" s="21"/>
      <c r="BZ194" s="21"/>
      <c r="CA194" s="21"/>
      <c r="CB194" s="21"/>
      <c r="CC194" s="21"/>
      <c r="CD194" s="21"/>
      <c r="CE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c r="DA194" s="21"/>
      <c r="DB194" s="21"/>
      <c r="DC194" s="21"/>
      <c r="DD194" s="21"/>
      <c r="DE194" s="21"/>
      <c r="DF194" s="21"/>
      <c r="DG194" s="21"/>
      <c r="DH194" s="21"/>
      <c r="DI194" s="21"/>
      <c r="DJ194" s="21"/>
      <c r="DK194" s="21"/>
      <c r="DL194" s="21"/>
      <c r="DM194" s="21"/>
      <c r="DN194" s="21"/>
      <c r="DO194" s="21"/>
      <c r="DP194" s="21"/>
      <c r="DQ194" s="21"/>
      <c r="DR194" s="21"/>
      <c r="DS194" s="21"/>
      <c r="DT194" s="21"/>
      <c r="DU194" s="21"/>
    </row>
    <row r="195" spans="1:125" x14ac:dyDescent="0.2">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21"/>
      <c r="AS195" s="21"/>
      <c r="AT195" s="21"/>
      <c r="AU195" s="21"/>
      <c r="AV195" s="21"/>
      <c r="AW195" s="21"/>
      <c r="AX195" s="21"/>
      <c r="AY195" s="21"/>
      <c r="AZ195" s="21"/>
      <c r="BA195" s="21"/>
      <c r="BB195" s="21"/>
      <c r="BC195" s="21"/>
      <c r="BD195" s="21"/>
      <c r="BE195" s="21"/>
      <c r="BF195" s="21"/>
      <c r="BG195" s="21"/>
      <c r="BH195" s="21"/>
      <c r="BI195" s="21"/>
      <c r="BJ195" s="21"/>
      <c r="BK195" s="21"/>
      <c r="BL195" s="21"/>
      <c r="BM195" s="21"/>
      <c r="BN195" s="21"/>
      <c r="BO195" s="21"/>
      <c r="BP195" s="21"/>
      <c r="BQ195" s="21"/>
      <c r="BR195" s="21"/>
      <c r="BS195" s="21"/>
      <c r="BT195" s="21"/>
      <c r="BU195" s="21"/>
      <c r="BV195" s="21"/>
      <c r="BW195" s="21"/>
      <c r="BX195" s="21"/>
      <c r="BY195" s="21"/>
      <c r="BZ195" s="21"/>
      <c r="CA195" s="21"/>
      <c r="CB195" s="21"/>
      <c r="CC195" s="21"/>
      <c r="CD195" s="21"/>
      <c r="CE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c r="DA195" s="21"/>
      <c r="DB195" s="21"/>
      <c r="DC195" s="21"/>
      <c r="DD195" s="21"/>
      <c r="DE195" s="21"/>
      <c r="DF195" s="21"/>
      <c r="DG195" s="21"/>
      <c r="DH195" s="21"/>
      <c r="DI195" s="21"/>
      <c r="DJ195" s="21"/>
      <c r="DK195" s="21"/>
      <c r="DL195" s="21"/>
      <c r="DM195" s="21"/>
      <c r="DN195" s="21"/>
      <c r="DO195" s="21"/>
      <c r="DP195" s="21"/>
      <c r="DQ195" s="21"/>
      <c r="DR195" s="21"/>
      <c r="DS195" s="21"/>
      <c r="DT195" s="21"/>
      <c r="DU195" s="21"/>
    </row>
    <row r="196" spans="1:125" x14ac:dyDescent="0.2">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21"/>
      <c r="AS196" s="21"/>
      <c r="AT196" s="21"/>
      <c r="AU196" s="21"/>
      <c r="AV196" s="21"/>
      <c r="AW196" s="21"/>
      <c r="AX196" s="21"/>
      <c r="AY196" s="21"/>
      <c r="AZ196" s="21"/>
      <c r="BA196" s="21"/>
      <c r="BB196" s="21"/>
      <c r="BC196" s="21"/>
      <c r="BD196" s="21"/>
      <c r="BE196" s="21"/>
      <c r="BF196" s="21"/>
      <c r="BG196" s="21"/>
      <c r="BH196" s="21"/>
      <c r="BI196" s="21"/>
      <c r="BJ196" s="21"/>
      <c r="BK196" s="21"/>
      <c r="BL196" s="21"/>
      <c r="BM196" s="21"/>
      <c r="BN196" s="21"/>
      <c r="BO196" s="21"/>
      <c r="BP196" s="21"/>
      <c r="BQ196" s="21"/>
      <c r="BR196" s="21"/>
      <c r="BS196" s="21"/>
      <c r="BT196" s="21"/>
      <c r="BU196" s="21"/>
      <c r="BV196" s="21"/>
      <c r="BW196" s="21"/>
      <c r="BX196" s="21"/>
      <c r="BY196" s="21"/>
      <c r="BZ196" s="21"/>
      <c r="CA196" s="21"/>
      <c r="CB196" s="21"/>
      <c r="CC196" s="21"/>
      <c r="CD196" s="21"/>
      <c r="CE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c r="DA196" s="21"/>
      <c r="DB196" s="21"/>
      <c r="DC196" s="21"/>
      <c r="DD196" s="21"/>
      <c r="DE196" s="21"/>
      <c r="DF196" s="21"/>
      <c r="DG196" s="21"/>
      <c r="DH196" s="21"/>
      <c r="DI196" s="21"/>
      <c r="DJ196" s="21"/>
      <c r="DK196" s="21"/>
      <c r="DL196" s="21"/>
      <c r="DM196" s="21"/>
      <c r="DN196" s="21"/>
      <c r="DO196" s="21"/>
      <c r="DP196" s="21"/>
      <c r="DQ196" s="21"/>
      <c r="DR196" s="21"/>
      <c r="DS196" s="21"/>
      <c r="DT196" s="21"/>
      <c r="DU196" s="21"/>
    </row>
    <row r="197" spans="1:125" x14ac:dyDescent="0.2">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21"/>
      <c r="AS197" s="21"/>
      <c r="AT197" s="21"/>
      <c r="AU197" s="21"/>
      <c r="AV197" s="21"/>
      <c r="AW197" s="21"/>
      <c r="AX197" s="21"/>
      <c r="AY197" s="21"/>
      <c r="AZ197" s="21"/>
      <c r="BA197" s="21"/>
      <c r="BB197" s="21"/>
      <c r="BC197" s="21"/>
      <c r="BD197" s="21"/>
      <c r="BE197" s="21"/>
      <c r="BF197" s="21"/>
      <c r="BG197" s="21"/>
      <c r="BH197" s="21"/>
      <c r="BI197" s="21"/>
      <c r="BJ197" s="21"/>
      <c r="BK197" s="21"/>
      <c r="BL197" s="21"/>
      <c r="BM197" s="21"/>
      <c r="BN197" s="21"/>
      <c r="BO197" s="21"/>
      <c r="BP197" s="21"/>
      <c r="BQ197" s="21"/>
      <c r="BR197" s="21"/>
      <c r="BS197" s="21"/>
      <c r="BT197" s="21"/>
      <c r="BU197" s="21"/>
      <c r="BV197" s="21"/>
      <c r="BW197" s="21"/>
      <c r="BX197" s="21"/>
      <c r="BY197" s="21"/>
      <c r="BZ197" s="21"/>
      <c r="CA197" s="21"/>
      <c r="CB197" s="21"/>
      <c r="CC197" s="21"/>
      <c r="CD197" s="21"/>
      <c r="CE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c r="DA197" s="21"/>
      <c r="DB197" s="21"/>
      <c r="DC197" s="21"/>
      <c r="DD197" s="21"/>
      <c r="DE197" s="21"/>
      <c r="DF197" s="21"/>
      <c r="DG197" s="21"/>
      <c r="DH197" s="21"/>
      <c r="DI197" s="21"/>
      <c r="DJ197" s="21"/>
      <c r="DK197" s="21"/>
      <c r="DL197" s="21"/>
      <c r="DM197" s="21"/>
      <c r="DN197" s="21"/>
      <c r="DO197" s="21"/>
      <c r="DP197" s="21"/>
      <c r="DQ197" s="21"/>
      <c r="DR197" s="21"/>
      <c r="DS197" s="21"/>
      <c r="DT197" s="21"/>
      <c r="DU197" s="21"/>
    </row>
    <row r="198" spans="1:125" x14ac:dyDescent="0.2">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c r="AN198" s="21"/>
      <c r="AO198" s="21"/>
      <c r="AP198" s="21"/>
      <c r="AQ198" s="21"/>
      <c r="AR198" s="21"/>
      <c r="AS198" s="21"/>
      <c r="AT198" s="21"/>
      <c r="AU198" s="21"/>
      <c r="AV198" s="21"/>
      <c r="AW198" s="21"/>
      <c r="AX198" s="21"/>
      <c r="AY198" s="21"/>
      <c r="AZ198" s="21"/>
      <c r="BA198" s="21"/>
      <c r="BB198" s="21"/>
      <c r="BC198" s="21"/>
      <c r="BD198" s="21"/>
      <c r="BE198" s="21"/>
      <c r="BF198" s="21"/>
      <c r="BG198" s="21"/>
      <c r="BH198" s="21"/>
      <c r="BI198" s="21"/>
      <c r="BJ198" s="21"/>
      <c r="BK198" s="21"/>
      <c r="BL198" s="21"/>
      <c r="BM198" s="21"/>
      <c r="BN198" s="21"/>
      <c r="BO198" s="21"/>
      <c r="BP198" s="21"/>
      <c r="BQ198" s="21"/>
      <c r="BR198" s="21"/>
      <c r="BS198" s="21"/>
      <c r="BT198" s="21"/>
      <c r="BU198" s="21"/>
      <c r="BV198" s="21"/>
      <c r="BW198" s="21"/>
      <c r="BX198" s="21"/>
      <c r="BY198" s="21"/>
      <c r="BZ198" s="21"/>
      <c r="CA198" s="21"/>
      <c r="CB198" s="21"/>
      <c r="CC198" s="21"/>
      <c r="CD198" s="21"/>
      <c r="CE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c r="DA198" s="21"/>
      <c r="DB198" s="21"/>
      <c r="DC198" s="21"/>
      <c r="DD198" s="21"/>
      <c r="DE198" s="21"/>
      <c r="DF198" s="21"/>
      <c r="DG198" s="21"/>
      <c r="DH198" s="21"/>
      <c r="DI198" s="21"/>
      <c r="DJ198" s="21"/>
      <c r="DK198" s="21"/>
      <c r="DL198" s="21"/>
      <c r="DM198" s="21"/>
      <c r="DN198" s="21"/>
      <c r="DO198" s="21"/>
      <c r="DP198" s="21"/>
      <c r="DQ198" s="21"/>
      <c r="DR198" s="21"/>
      <c r="DS198" s="21"/>
      <c r="DT198" s="21"/>
      <c r="DU198" s="21"/>
    </row>
    <row r="199" spans="1:125" x14ac:dyDescent="0.2">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c r="AN199" s="21"/>
      <c r="AO199" s="21"/>
      <c r="AP199" s="21"/>
      <c r="AQ199" s="21"/>
      <c r="AR199" s="21"/>
      <c r="AS199" s="21"/>
      <c r="AT199" s="21"/>
      <c r="AU199" s="21"/>
      <c r="AV199" s="21"/>
      <c r="AW199" s="21"/>
      <c r="AX199" s="21"/>
      <c r="AY199" s="21"/>
      <c r="AZ199" s="21"/>
      <c r="BA199" s="21"/>
      <c r="BB199" s="21"/>
      <c r="BC199" s="21"/>
      <c r="BD199" s="21"/>
      <c r="BE199" s="21"/>
      <c r="BF199" s="21"/>
      <c r="BG199" s="21"/>
      <c r="BH199" s="21"/>
      <c r="BI199" s="21"/>
      <c r="BJ199" s="21"/>
      <c r="BK199" s="21"/>
      <c r="BL199" s="21"/>
      <c r="BM199" s="21"/>
      <c r="BN199" s="21"/>
      <c r="BO199" s="21"/>
      <c r="BP199" s="21"/>
      <c r="BQ199" s="21"/>
      <c r="BR199" s="21"/>
      <c r="BS199" s="21"/>
      <c r="BT199" s="21"/>
      <c r="BU199" s="21"/>
      <c r="BV199" s="21"/>
      <c r="BW199" s="21"/>
      <c r="BX199" s="21"/>
      <c r="BY199" s="21"/>
      <c r="BZ199" s="21"/>
      <c r="CA199" s="21"/>
      <c r="CB199" s="21"/>
      <c r="CC199" s="21"/>
      <c r="CD199" s="21"/>
      <c r="CE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c r="DA199" s="21"/>
      <c r="DB199" s="21"/>
      <c r="DC199" s="21"/>
      <c r="DD199" s="21"/>
      <c r="DE199" s="21"/>
      <c r="DF199" s="21"/>
      <c r="DG199" s="21"/>
      <c r="DH199" s="21"/>
      <c r="DI199" s="21"/>
      <c r="DJ199" s="21"/>
      <c r="DK199" s="21"/>
      <c r="DL199" s="21"/>
      <c r="DM199" s="21"/>
      <c r="DN199" s="21"/>
      <c r="DO199" s="21"/>
      <c r="DP199" s="21"/>
      <c r="DQ199" s="21"/>
      <c r="DR199" s="21"/>
      <c r="DS199" s="21"/>
      <c r="DT199" s="21"/>
      <c r="DU199" s="21"/>
    </row>
    <row r="200" spans="1:125" x14ac:dyDescent="0.2">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c r="AN200" s="21"/>
      <c r="AO200" s="21"/>
      <c r="AP200" s="21"/>
      <c r="AQ200" s="21"/>
      <c r="AR200" s="21"/>
      <c r="AS200" s="21"/>
      <c r="AT200" s="21"/>
      <c r="AU200" s="21"/>
      <c r="AV200" s="21"/>
      <c r="AW200" s="21"/>
      <c r="AX200" s="21"/>
      <c r="AY200" s="21"/>
      <c r="AZ200" s="21"/>
      <c r="BA200" s="21"/>
      <c r="BB200" s="21"/>
      <c r="BC200" s="21"/>
      <c r="BD200" s="21"/>
      <c r="BE200" s="21"/>
      <c r="BF200" s="21"/>
      <c r="BG200" s="21"/>
      <c r="BH200" s="21"/>
      <c r="BI200" s="21"/>
      <c r="BJ200" s="21"/>
      <c r="BK200" s="21"/>
      <c r="BL200" s="21"/>
      <c r="BM200" s="21"/>
      <c r="BN200" s="21"/>
      <c r="BO200" s="21"/>
      <c r="BP200" s="21"/>
      <c r="BQ200" s="21"/>
      <c r="BR200" s="21"/>
      <c r="BS200" s="21"/>
      <c r="BT200" s="21"/>
      <c r="BU200" s="21"/>
      <c r="BV200" s="21"/>
      <c r="BW200" s="21"/>
      <c r="BX200" s="21"/>
      <c r="BY200" s="21"/>
      <c r="BZ200" s="21"/>
      <c r="CA200" s="21"/>
      <c r="CB200" s="21"/>
      <c r="CC200" s="21"/>
      <c r="CD200" s="21"/>
      <c r="CE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c r="DA200" s="21"/>
      <c r="DB200" s="21"/>
      <c r="DC200" s="21"/>
      <c r="DD200" s="21"/>
      <c r="DE200" s="21"/>
      <c r="DF200" s="21"/>
      <c r="DG200" s="21"/>
      <c r="DH200" s="21"/>
      <c r="DI200" s="21"/>
      <c r="DJ200" s="21"/>
      <c r="DK200" s="21"/>
      <c r="DL200" s="21"/>
      <c r="DM200" s="21"/>
      <c r="DN200" s="21"/>
      <c r="DO200" s="21"/>
      <c r="DP200" s="21"/>
      <c r="DQ200" s="21"/>
      <c r="DR200" s="21"/>
      <c r="DS200" s="21"/>
      <c r="DT200" s="21"/>
      <c r="DU200" s="21"/>
    </row>
    <row r="201" spans="1:125" x14ac:dyDescent="0.2">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c r="AN201" s="21"/>
      <c r="AO201" s="21"/>
      <c r="AP201" s="21"/>
      <c r="AQ201" s="21"/>
      <c r="AR201" s="21"/>
      <c r="AS201" s="21"/>
      <c r="AT201" s="21"/>
      <c r="AU201" s="21"/>
      <c r="AV201" s="21"/>
      <c r="AW201" s="21"/>
      <c r="AX201" s="21"/>
      <c r="AY201" s="21"/>
      <c r="AZ201" s="21"/>
      <c r="BA201" s="21"/>
      <c r="BB201" s="21"/>
      <c r="BC201" s="21"/>
      <c r="BD201" s="21"/>
      <c r="BE201" s="21"/>
      <c r="BF201" s="21"/>
      <c r="BG201" s="21"/>
      <c r="BH201" s="21"/>
      <c r="BI201" s="21"/>
      <c r="BJ201" s="21"/>
      <c r="BK201" s="21"/>
      <c r="BL201" s="21"/>
      <c r="BM201" s="21"/>
      <c r="BN201" s="21"/>
      <c r="BO201" s="21"/>
      <c r="BP201" s="21"/>
      <c r="BQ201" s="21"/>
      <c r="BR201" s="21"/>
      <c r="BS201" s="21"/>
      <c r="BT201" s="21"/>
      <c r="BU201" s="21"/>
      <c r="BV201" s="21"/>
      <c r="BW201" s="21"/>
      <c r="BX201" s="21"/>
      <c r="BY201" s="21"/>
      <c r="BZ201" s="21"/>
      <c r="CA201" s="21"/>
      <c r="CB201" s="21"/>
      <c r="CC201" s="21"/>
      <c r="CD201" s="21"/>
      <c r="CE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c r="DA201" s="21"/>
      <c r="DB201" s="21"/>
      <c r="DC201" s="21"/>
      <c r="DD201" s="21"/>
      <c r="DE201" s="21"/>
      <c r="DF201" s="21"/>
      <c r="DG201" s="21"/>
      <c r="DH201" s="21"/>
      <c r="DI201" s="21"/>
      <c r="DJ201" s="21"/>
      <c r="DK201" s="21"/>
      <c r="DL201" s="21"/>
      <c r="DM201" s="21"/>
      <c r="DN201" s="21"/>
      <c r="DO201" s="21"/>
      <c r="DP201" s="21"/>
      <c r="DQ201" s="21"/>
      <c r="DR201" s="21"/>
      <c r="DS201" s="21"/>
      <c r="DT201" s="21"/>
      <c r="DU201" s="21"/>
    </row>
    <row r="202" spans="1:125" x14ac:dyDescent="0.2">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c r="AN202" s="21"/>
      <c r="AO202" s="21"/>
      <c r="AP202" s="21"/>
      <c r="AQ202" s="21"/>
      <c r="AR202" s="21"/>
      <c r="AS202" s="21"/>
      <c r="AT202" s="21"/>
      <c r="AU202" s="21"/>
      <c r="AV202" s="21"/>
      <c r="AW202" s="21"/>
      <c r="AX202" s="21"/>
      <c r="AY202" s="21"/>
      <c r="AZ202" s="21"/>
      <c r="BA202" s="21"/>
      <c r="BB202" s="21"/>
      <c r="BC202" s="21"/>
      <c r="BD202" s="21"/>
      <c r="BE202" s="21"/>
      <c r="BF202" s="21"/>
      <c r="BG202" s="21"/>
      <c r="BH202" s="21"/>
      <c r="BI202" s="21"/>
      <c r="BJ202" s="21"/>
      <c r="BK202" s="21"/>
      <c r="BL202" s="21"/>
      <c r="BM202" s="21"/>
      <c r="BN202" s="21"/>
      <c r="BO202" s="21"/>
      <c r="BP202" s="21"/>
      <c r="BQ202" s="21"/>
      <c r="BR202" s="21"/>
      <c r="BS202" s="21"/>
      <c r="BT202" s="21"/>
      <c r="BU202" s="21"/>
      <c r="BV202" s="21"/>
      <c r="BW202" s="21"/>
      <c r="BX202" s="21"/>
      <c r="BY202" s="21"/>
      <c r="BZ202" s="21"/>
      <c r="CA202" s="21"/>
      <c r="CB202" s="21"/>
      <c r="CC202" s="21"/>
      <c r="CD202" s="21"/>
      <c r="CE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c r="DA202" s="21"/>
      <c r="DB202" s="21"/>
      <c r="DC202" s="21"/>
      <c r="DD202" s="21"/>
      <c r="DE202" s="21"/>
      <c r="DF202" s="21"/>
      <c r="DG202" s="21"/>
      <c r="DH202" s="21"/>
      <c r="DI202" s="21"/>
      <c r="DJ202" s="21"/>
      <c r="DK202" s="21"/>
      <c r="DL202" s="21"/>
      <c r="DM202" s="21"/>
      <c r="DN202" s="21"/>
      <c r="DO202" s="21"/>
      <c r="DP202" s="21"/>
      <c r="DQ202" s="21"/>
      <c r="DR202" s="21"/>
      <c r="DS202" s="21"/>
      <c r="DT202" s="21"/>
      <c r="DU202" s="21"/>
    </row>
    <row r="203" spans="1:125" x14ac:dyDescent="0.2">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c r="AN203" s="21"/>
      <c r="AO203" s="21"/>
      <c r="AP203" s="21"/>
      <c r="AQ203" s="21"/>
      <c r="AR203" s="21"/>
      <c r="AS203" s="21"/>
      <c r="AT203" s="21"/>
      <c r="AU203" s="21"/>
      <c r="AV203" s="21"/>
      <c r="AW203" s="21"/>
      <c r="AX203" s="21"/>
      <c r="AY203" s="21"/>
      <c r="AZ203" s="21"/>
      <c r="BA203" s="21"/>
      <c r="BB203" s="21"/>
      <c r="BC203" s="21"/>
      <c r="BD203" s="21"/>
      <c r="BE203" s="21"/>
      <c r="BF203" s="21"/>
      <c r="BG203" s="21"/>
      <c r="BH203" s="21"/>
      <c r="BI203" s="21"/>
      <c r="BJ203" s="21"/>
      <c r="BK203" s="21"/>
      <c r="BL203" s="21"/>
      <c r="BM203" s="21"/>
      <c r="BN203" s="21"/>
      <c r="BO203" s="21"/>
      <c r="BP203" s="21"/>
      <c r="BQ203" s="21"/>
      <c r="BR203" s="21"/>
      <c r="BS203" s="21"/>
      <c r="BT203" s="21"/>
      <c r="BU203" s="21"/>
      <c r="BV203" s="21"/>
      <c r="BW203" s="21"/>
      <c r="BX203" s="21"/>
      <c r="BY203" s="21"/>
      <c r="BZ203" s="21"/>
      <c r="CA203" s="21"/>
      <c r="CB203" s="21"/>
      <c r="CC203" s="21"/>
      <c r="CD203" s="21"/>
      <c r="CE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c r="DA203" s="21"/>
      <c r="DB203" s="21"/>
      <c r="DC203" s="21"/>
      <c r="DD203" s="21"/>
      <c r="DE203" s="21"/>
      <c r="DF203" s="21"/>
      <c r="DG203" s="21"/>
      <c r="DH203" s="21"/>
      <c r="DI203" s="21"/>
      <c r="DJ203" s="21"/>
      <c r="DK203" s="21"/>
      <c r="DL203" s="21"/>
      <c r="DM203" s="21"/>
      <c r="DN203" s="21"/>
      <c r="DO203" s="21"/>
      <c r="DP203" s="21"/>
      <c r="DQ203" s="21"/>
      <c r="DR203" s="21"/>
      <c r="DS203" s="21"/>
      <c r="DT203" s="21"/>
      <c r="DU203" s="21"/>
    </row>
    <row r="204" spans="1:125" x14ac:dyDescent="0.2">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c r="AN204" s="21"/>
      <c r="AO204" s="21"/>
      <c r="AP204" s="21"/>
      <c r="AQ204" s="21"/>
      <c r="AR204" s="21"/>
      <c r="AS204" s="21"/>
      <c r="AT204" s="21"/>
      <c r="AU204" s="21"/>
      <c r="AV204" s="21"/>
      <c r="AW204" s="21"/>
      <c r="AX204" s="21"/>
      <c r="AY204" s="21"/>
      <c r="AZ204" s="21"/>
      <c r="BA204" s="21"/>
      <c r="BB204" s="21"/>
      <c r="BC204" s="21"/>
      <c r="BD204" s="21"/>
      <c r="BE204" s="21"/>
      <c r="BF204" s="21"/>
      <c r="BG204" s="21"/>
      <c r="BH204" s="21"/>
      <c r="BI204" s="21"/>
      <c r="BJ204" s="21"/>
      <c r="BK204" s="21"/>
      <c r="BL204" s="21"/>
      <c r="BM204" s="21"/>
      <c r="BN204" s="21"/>
      <c r="BO204" s="21"/>
      <c r="BP204" s="21"/>
      <c r="BQ204" s="21"/>
      <c r="BR204" s="21"/>
      <c r="BS204" s="21"/>
      <c r="BT204" s="21"/>
      <c r="BU204" s="21"/>
      <c r="BV204" s="21"/>
      <c r="BW204" s="21"/>
      <c r="BX204" s="21"/>
      <c r="BY204" s="21"/>
      <c r="BZ204" s="21"/>
      <c r="CA204" s="21"/>
      <c r="CB204" s="21"/>
      <c r="CC204" s="21"/>
      <c r="CD204" s="21"/>
      <c r="CE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c r="DA204" s="21"/>
      <c r="DB204" s="21"/>
      <c r="DC204" s="21"/>
      <c r="DD204" s="21"/>
      <c r="DE204" s="21"/>
      <c r="DF204" s="21"/>
      <c r="DG204" s="21"/>
      <c r="DH204" s="21"/>
      <c r="DI204" s="21"/>
      <c r="DJ204" s="21"/>
      <c r="DK204" s="21"/>
      <c r="DL204" s="21"/>
      <c r="DM204" s="21"/>
      <c r="DN204" s="21"/>
      <c r="DO204" s="21"/>
      <c r="DP204" s="21"/>
      <c r="DQ204" s="21"/>
      <c r="DR204" s="21"/>
      <c r="DS204" s="21"/>
      <c r="DT204" s="21"/>
      <c r="DU204" s="21"/>
    </row>
    <row r="205" spans="1:125" x14ac:dyDescent="0.2">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c r="AN205" s="21"/>
      <c r="AO205" s="21"/>
      <c r="AP205" s="21"/>
      <c r="AQ205" s="21"/>
      <c r="AR205" s="21"/>
      <c r="AS205" s="21"/>
      <c r="AT205" s="21"/>
      <c r="AU205" s="21"/>
      <c r="AV205" s="21"/>
      <c r="AW205" s="21"/>
      <c r="AX205" s="21"/>
      <c r="AY205" s="21"/>
      <c r="AZ205" s="21"/>
      <c r="BA205" s="21"/>
      <c r="BB205" s="21"/>
      <c r="BC205" s="21"/>
      <c r="BD205" s="21"/>
      <c r="BE205" s="21"/>
      <c r="BF205" s="21"/>
      <c r="BG205" s="21"/>
      <c r="BH205" s="21"/>
      <c r="BI205" s="21"/>
      <c r="BJ205" s="21"/>
      <c r="BK205" s="21"/>
      <c r="BL205" s="21"/>
      <c r="BM205" s="21"/>
      <c r="BN205" s="21"/>
      <c r="BO205" s="21"/>
      <c r="BP205" s="21"/>
      <c r="BQ205" s="21"/>
      <c r="BR205" s="21"/>
      <c r="BS205" s="21"/>
      <c r="BT205" s="21"/>
      <c r="BU205" s="21"/>
      <c r="BV205" s="21"/>
      <c r="BW205" s="21"/>
      <c r="BX205" s="21"/>
      <c r="BY205" s="21"/>
      <c r="BZ205" s="21"/>
      <c r="CA205" s="21"/>
      <c r="CB205" s="21"/>
      <c r="CC205" s="21"/>
      <c r="CD205" s="21"/>
      <c r="CE205" s="21"/>
      <c r="CF205" s="21"/>
      <c r="CG205" s="21"/>
      <c r="CH205" s="21"/>
      <c r="CI205" s="21"/>
      <c r="CJ205" s="21"/>
      <c r="CK205" s="21"/>
      <c r="CL205" s="21"/>
      <c r="CM205" s="21"/>
      <c r="CN205" s="21"/>
      <c r="CO205" s="21"/>
      <c r="CP205" s="21"/>
      <c r="CQ205" s="21"/>
      <c r="CR205" s="21"/>
      <c r="CS205" s="21"/>
      <c r="CT205" s="21"/>
      <c r="CU205" s="21"/>
      <c r="CV205" s="21"/>
      <c r="CW205" s="21"/>
      <c r="CX205" s="21"/>
      <c r="CY205" s="21"/>
      <c r="CZ205" s="21"/>
      <c r="DA205" s="21"/>
      <c r="DB205" s="21"/>
      <c r="DC205" s="21"/>
      <c r="DD205" s="21"/>
      <c r="DE205" s="21"/>
      <c r="DF205" s="21"/>
      <c r="DG205" s="21"/>
      <c r="DH205" s="21"/>
      <c r="DI205" s="21"/>
      <c r="DJ205" s="21"/>
      <c r="DK205" s="21"/>
      <c r="DL205" s="21"/>
      <c r="DM205" s="21"/>
      <c r="DN205" s="21"/>
      <c r="DO205" s="21"/>
      <c r="DP205" s="21"/>
      <c r="DQ205" s="21"/>
      <c r="DR205" s="21"/>
      <c r="DS205" s="21"/>
      <c r="DT205" s="21"/>
      <c r="DU205" s="21"/>
    </row>
    <row r="206" spans="1:125" x14ac:dyDescent="0.2">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c r="AN206" s="21"/>
      <c r="AO206" s="21"/>
      <c r="AP206" s="21"/>
      <c r="AQ206" s="21"/>
      <c r="AR206" s="21"/>
      <c r="AS206" s="21"/>
      <c r="AT206" s="21"/>
      <c r="AU206" s="21"/>
      <c r="AV206" s="21"/>
      <c r="AW206" s="21"/>
      <c r="AX206" s="21"/>
      <c r="AY206" s="21"/>
      <c r="AZ206" s="21"/>
      <c r="BA206" s="21"/>
      <c r="BB206" s="21"/>
      <c r="BC206" s="21"/>
      <c r="BD206" s="21"/>
      <c r="BE206" s="21"/>
      <c r="BF206" s="21"/>
      <c r="BG206" s="21"/>
      <c r="BH206" s="21"/>
      <c r="BI206" s="21"/>
      <c r="BJ206" s="21"/>
      <c r="BK206" s="21"/>
      <c r="BL206" s="21"/>
      <c r="BM206" s="21"/>
      <c r="BN206" s="21"/>
      <c r="BO206" s="21"/>
      <c r="BP206" s="21"/>
      <c r="BQ206" s="21"/>
      <c r="BR206" s="21"/>
      <c r="BS206" s="21"/>
      <c r="BT206" s="21"/>
      <c r="BU206" s="21"/>
      <c r="BV206" s="21"/>
      <c r="BW206" s="21"/>
      <c r="BX206" s="21"/>
      <c r="BY206" s="21"/>
      <c r="BZ206" s="21"/>
      <c r="CA206" s="21"/>
      <c r="CB206" s="21"/>
      <c r="CC206" s="21"/>
      <c r="CD206" s="21"/>
      <c r="CE206" s="21"/>
      <c r="CF206" s="21"/>
      <c r="CG206" s="21"/>
      <c r="CH206" s="21"/>
      <c r="CI206" s="21"/>
      <c r="CJ206" s="21"/>
      <c r="CK206" s="21"/>
      <c r="CL206" s="21"/>
      <c r="CM206" s="21"/>
      <c r="CN206" s="21"/>
      <c r="CO206" s="21"/>
      <c r="CP206" s="21"/>
      <c r="CQ206" s="21"/>
      <c r="CR206" s="21"/>
      <c r="CS206" s="21"/>
      <c r="CT206" s="21"/>
      <c r="CU206" s="21"/>
      <c r="CV206" s="21"/>
      <c r="CW206" s="21"/>
      <c r="CX206" s="21"/>
      <c r="CY206" s="21"/>
      <c r="CZ206" s="21"/>
      <c r="DA206" s="21"/>
      <c r="DB206" s="21"/>
      <c r="DC206" s="21"/>
      <c r="DD206" s="21"/>
      <c r="DE206" s="21"/>
      <c r="DF206" s="21"/>
      <c r="DG206" s="21"/>
      <c r="DH206" s="21"/>
      <c r="DI206" s="21"/>
      <c r="DJ206" s="21"/>
      <c r="DK206" s="21"/>
      <c r="DL206" s="21"/>
      <c r="DM206" s="21"/>
      <c r="DN206" s="21"/>
      <c r="DO206" s="21"/>
      <c r="DP206" s="21"/>
      <c r="DQ206" s="21"/>
      <c r="DR206" s="21"/>
      <c r="DS206" s="21"/>
      <c r="DT206" s="21"/>
      <c r="DU206" s="21"/>
    </row>
    <row r="207" spans="1:125" x14ac:dyDescent="0.2">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c r="AN207" s="21"/>
      <c r="AO207" s="21"/>
      <c r="AP207" s="21"/>
      <c r="AQ207" s="21"/>
      <c r="AR207" s="21"/>
      <c r="AS207" s="21"/>
      <c r="AT207" s="21"/>
      <c r="AU207" s="21"/>
      <c r="AV207" s="21"/>
      <c r="AW207" s="21"/>
      <c r="AX207" s="21"/>
      <c r="AY207" s="21"/>
      <c r="AZ207" s="21"/>
      <c r="BA207" s="21"/>
      <c r="BB207" s="21"/>
      <c r="BC207" s="21"/>
      <c r="BD207" s="21"/>
      <c r="BE207" s="21"/>
      <c r="BF207" s="21"/>
      <c r="BG207" s="21"/>
      <c r="BH207" s="21"/>
      <c r="BI207" s="21"/>
      <c r="BJ207" s="21"/>
      <c r="BK207" s="21"/>
      <c r="BL207" s="21"/>
      <c r="BM207" s="21"/>
      <c r="BN207" s="21"/>
      <c r="BO207" s="21"/>
      <c r="BP207" s="21"/>
      <c r="BQ207" s="21"/>
      <c r="BR207" s="21"/>
      <c r="BS207" s="21"/>
      <c r="BT207" s="21"/>
      <c r="BU207" s="21"/>
      <c r="BV207" s="21"/>
      <c r="BW207" s="21"/>
      <c r="BX207" s="21"/>
      <c r="BY207" s="21"/>
      <c r="BZ207" s="21"/>
      <c r="CA207" s="21"/>
      <c r="CB207" s="21"/>
      <c r="CC207" s="21"/>
      <c r="CD207" s="21"/>
      <c r="CE207" s="21"/>
      <c r="CF207" s="21"/>
      <c r="CG207" s="21"/>
      <c r="CH207" s="21"/>
      <c r="CI207" s="21"/>
      <c r="CJ207" s="21"/>
      <c r="CK207" s="21"/>
      <c r="CL207" s="21"/>
      <c r="CM207" s="21"/>
      <c r="CN207" s="21"/>
      <c r="CO207" s="21"/>
      <c r="CP207" s="21"/>
      <c r="CQ207" s="21"/>
      <c r="CR207" s="21"/>
      <c r="CS207" s="21"/>
      <c r="CT207" s="21"/>
      <c r="CU207" s="21"/>
      <c r="CV207" s="21"/>
      <c r="CW207" s="21"/>
      <c r="CX207" s="21"/>
      <c r="CY207" s="21"/>
      <c r="CZ207" s="21"/>
      <c r="DA207" s="21"/>
      <c r="DB207" s="21"/>
      <c r="DC207" s="21"/>
      <c r="DD207" s="21"/>
      <c r="DE207" s="21"/>
      <c r="DF207" s="21"/>
      <c r="DG207" s="21"/>
      <c r="DH207" s="21"/>
      <c r="DI207" s="21"/>
      <c r="DJ207" s="21"/>
      <c r="DK207" s="21"/>
      <c r="DL207" s="21"/>
      <c r="DM207" s="21"/>
      <c r="DN207" s="21"/>
      <c r="DO207" s="21"/>
      <c r="DP207" s="21"/>
      <c r="DQ207" s="21"/>
      <c r="DR207" s="21"/>
      <c r="DS207" s="21"/>
      <c r="DT207" s="21"/>
      <c r="DU207" s="21"/>
    </row>
    <row r="208" spans="1:125" x14ac:dyDescent="0.2">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c r="AN208" s="21"/>
      <c r="AO208" s="21"/>
      <c r="AP208" s="21"/>
      <c r="AQ208" s="21"/>
      <c r="AR208" s="21"/>
      <c r="AS208" s="21"/>
      <c r="AT208" s="21"/>
      <c r="AU208" s="21"/>
      <c r="AV208" s="21"/>
      <c r="AW208" s="21"/>
      <c r="AX208" s="21"/>
      <c r="AY208" s="21"/>
      <c r="AZ208" s="21"/>
      <c r="BA208" s="21"/>
      <c r="BB208" s="21"/>
      <c r="BC208" s="21"/>
      <c r="BD208" s="21"/>
      <c r="BE208" s="21"/>
      <c r="BF208" s="21"/>
      <c r="BG208" s="21"/>
      <c r="BH208" s="21"/>
      <c r="BI208" s="21"/>
      <c r="BJ208" s="21"/>
      <c r="BK208" s="21"/>
      <c r="BL208" s="21"/>
      <c r="BM208" s="21"/>
      <c r="BN208" s="21"/>
      <c r="BO208" s="21"/>
      <c r="BP208" s="21"/>
      <c r="BQ208" s="21"/>
      <c r="BR208" s="21"/>
      <c r="BS208" s="21"/>
      <c r="BT208" s="21"/>
      <c r="BU208" s="21"/>
      <c r="BV208" s="21"/>
      <c r="BW208" s="21"/>
      <c r="BX208" s="21"/>
      <c r="BY208" s="21"/>
      <c r="BZ208" s="21"/>
      <c r="CA208" s="21"/>
      <c r="CB208" s="21"/>
      <c r="CC208" s="21"/>
      <c r="CD208" s="21"/>
      <c r="CE208" s="21"/>
      <c r="CF208" s="21"/>
      <c r="CG208" s="21"/>
      <c r="CH208" s="21"/>
      <c r="CI208" s="21"/>
      <c r="CJ208" s="21"/>
      <c r="CK208" s="21"/>
      <c r="CL208" s="21"/>
      <c r="CM208" s="21"/>
      <c r="CN208" s="21"/>
      <c r="CO208" s="21"/>
      <c r="CP208" s="21"/>
      <c r="CQ208" s="21"/>
      <c r="CR208" s="21"/>
      <c r="CS208" s="21"/>
      <c r="CT208" s="21"/>
      <c r="CU208" s="21"/>
      <c r="CV208" s="21"/>
      <c r="CW208" s="21"/>
      <c r="CX208" s="21"/>
      <c r="CY208" s="21"/>
      <c r="CZ208" s="21"/>
      <c r="DA208" s="21"/>
      <c r="DB208" s="21"/>
      <c r="DC208" s="21"/>
      <c r="DD208" s="21"/>
      <c r="DE208" s="21"/>
      <c r="DF208" s="21"/>
      <c r="DG208" s="21"/>
      <c r="DH208" s="21"/>
      <c r="DI208" s="21"/>
      <c r="DJ208" s="21"/>
      <c r="DK208" s="21"/>
      <c r="DL208" s="21"/>
      <c r="DM208" s="21"/>
      <c r="DN208" s="21"/>
      <c r="DO208" s="21"/>
      <c r="DP208" s="21"/>
      <c r="DQ208" s="21"/>
      <c r="DR208" s="21"/>
      <c r="DS208" s="21"/>
      <c r="DT208" s="21"/>
      <c r="DU208" s="21"/>
    </row>
    <row r="209" spans="1:125" x14ac:dyDescent="0.2">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c r="AN209" s="21"/>
      <c r="AO209" s="21"/>
      <c r="AP209" s="21"/>
      <c r="AQ209" s="21"/>
      <c r="AR209" s="21"/>
      <c r="AS209" s="21"/>
      <c r="AT209" s="21"/>
      <c r="AU209" s="21"/>
      <c r="AV209" s="21"/>
      <c r="AW209" s="21"/>
      <c r="AX209" s="21"/>
      <c r="AY209" s="21"/>
      <c r="AZ209" s="21"/>
      <c r="BA209" s="21"/>
      <c r="BB209" s="21"/>
      <c r="BC209" s="21"/>
      <c r="BD209" s="21"/>
      <c r="BE209" s="21"/>
      <c r="BF209" s="21"/>
      <c r="BG209" s="21"/>
      <c r="BH209" s="21"/>
      <c r="BI209" s="21"/>
      <c r="BJ209" s="21"/>
      <c r="BK209" s="21"/>
      <c r="BL209" s="21"/>
      <c r="BM209" s="21"/>
      <c r="BN209" s="21"/>
      <c r="BO209" s="21"/>
      <c r="BP209" s="21"/>
      <c r="BQ209" s="21"/>
      <c r="BR209" s="21"/>
      <c r="BS209" s="21"/>
      <c r="BT209" s="21"/>
      <c r="BU209" s="21"/>
      <c r="BV209" s="21"/>
      <c r="BW209" s="21"/>
      <c r="BX209" s="21"/>
      <c r="BY209" s="21"/>
      <c r="BZ209" s="21"/>
      <c r="CA209" s="21"/>
      <c r="CB209" s="21"/>
      <c r="CC209" s="21"/>
      <c r="CD209" s="21"/>
      <c r="CE209" s="21"/>
      <c r="CF209" s="21"/>
      <c r="CG209" s="21"/>
      <c r="CH209" s="21"/>
      <c r="CI209" s="21"/>
      <c r="CJ209" s="21"/>
      <c r="CK209" s="21"/>
      <c r="CL209" s="21"/>
      <c r="CM209" s="21"/>
      <c r="CN209" s="21"/>
      <c r="CO209" s="21"/>
      <c r="CP209" s="21"/>
      <c r="CQ209" s="21"/>
      <c r="CR209" s="21"/>
      <c r="CS209" s="21"/>
      <c r="CT209" s="21"/>
      <c r="CU209" s="21"/>
      <c r="CV209" s="21"/>
      <c r="CW209" s="21"/>
      <c r="CX209" s="21"/>
      <c r="CY209" s="21"/>
      <c r="CZ209" s="21"/>
      <c r="DA209" s="21"/>
      <c r="DB209" s="21"/>
      <c r="DC209" s="21"/>
      <c r="DD209" s="21"/>
      <c r="DE209" s="21"/>
      <c r="DF209" s="21"/>
      <c r="DG209" s="21"/>
      <c r="DH209" s="21"/>
      <c r="DI209" s="21"/>
      <c r="DJ209" s="21"/>
      <c r="DK209" s="21"/>
      <c r="DL209" s="21"/>
      <c r="DM209" s="21"/>
      <c r="DN209" s="21"/>
      <c r="DO209" s="21"/>
      <c r="DP209" s="21"/>
      <c r="DQ209" s="21"/>
      <c r="DR209" s="21"/>
      <c r="DS209" s="21"/>
      <c r="DT209" s="21"/>
      <c r="DU209" s="21"/>
    </row>
    <row r="210" spans="1:125" x14ac:dyDescent="0.2">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c r="AN210" s="21"/>
      <c r="AO210" s="21"/>
      <c r="AP210" s="21"/>
      <c r="AQ210" s="21"/>
      <c r="AR210" s="21"/>
      <c r="AS210" s="21"/>
      <c r="AT210" s="21"/>
      <c r="AU210" s="21"/>
      <c r="AV210" s="21"/>
      <c r="AW210" s="21"/>
      <c r="AX210" s="21"/>
      <c r="AY210" s="21"/>
      <c r="AZ210" s="21"/>
      <c r="BA210" s="21"/>
      <c r="BB210" s="21"/>
      <c r="BC210" s="21"/>
      <c r="BD210" s="21"/>
      <c r="BE210" s="21"/>
      <c r="BF210" s="21"/>
      <c r="BG210" s="21"/>
      <c r="BH210" s="21"/>
      <c r="BI210" s="21"/>
      <c r="BJ210" s="21"/>
      <c r="BK210" s="21"/>
      <c r="BL210" s="21"/>
      <c r="BM210" s="21"/>
      <c r="BN210" s="21"/>
      <c r="BO210" s="21"/>
      <c r="BP210" s="21"/>
      <c r="BQ210" s="21"/>
      <c r="BR210" s="21"/>
      <c r="BS210" s="21"/>
      <c r="BT210" s="21"/>
      <c r="BU210" s="21"/>
      <c r="BV210" s="21"/>
      <c r="BW210" s="21"/>
      <c r="BX210" s="21"/>
      <c r="BY210" s="21"/>
      <c r="BZ210" s="21"/>
      <c r="CA210" s="21"/>
      <c r="CB210" s="21"/>
      <c r="CC210" s="21"/>
      <c r="CD210" s="21"/>
      <c r="CE210" s="21"/>
      <c r="CF210" s="21"/>
      <c r="CG210" s="21"/>
      <c r="CH210" s="21"/>
      <c r="CI210" s="21"/>
      <c r="CJ210" s="21"/>
      <c r="CK210" s="21"/>
      <c r="CL210" s="21"/>
      <c r="CM210" s="21"/>
      <c r="CN210" s="21"/>
      <c r="CO210" s="21"/>
      <c r="CP210" s="21"/>
      <c r="CQ210" s="21"/>
      <c r="CR210" s="21"/>
      <c r="CS210" s="21"/>
      <c r="CT210" s="21"/>
      <c r="CU210" s="21"/>
      <c r="CV210" s="21"/>
      <c r="CW210" s="21"/>
      <c r="CX210" s="21"/>
      <c r="CY210" s="21"/>
      <c r="CZ210" s="21"/>
      <c r="DA210" s="21"/>
      <c r="DB210" s="21"/>
      <c r="DC210" s="21"/>
      <c r="DD210" s="21"/>
      <c r="DE210" s="21"/>
      <c r="DF210" s="21"/>
      <c r="DG210" s="21"/>
      <c r="DH210" s="21"/>
      <c r="DI210" s="21"/>
      <c r="DJ210" s="21"/>
      <c r="DK210" s="21"/>
      <c r="DL210" s="21"/>
      <c r="DM210" s="21"/>
      <c r="DN210" s="21"/>
      <c r="DO210" s="21"/>
      <c r="DP210" s="21"/>
      <c r="DQ210" s="21"/>
      <c r="DR210" s="21"/>
      <c r="DS210" s="21"/>
      <c r="DT210" s="21"/>
      <c r="DU210" s="21"/>
    </row>
    <row r="211" spans="1:125" x14ac:dyDescent="0.2">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c r="AN211" s="21"/>
      <c r="AO211" s="21"/>
      <c r="AP211" s="21"/>
      <c r="AQ211" s="21"/>
      <c r="AR211" s="21"/>
      <c r="AS211" s="21"/>
      <c r="AT211" s="21"/>
      <c r="AU211" s="21"/>
      <c r="AV211" s="21"/>
      <c r="AW211" s="21"/>
      <c r="AX211" s="21"/>
      <c r="AY211" s="21"/>
      <c r="AZ211" s="21"/>
      <c r="BA211" s="21"/>
      <c r="BB211" s="21"/>
      <c r="BC211" s="21"/>
      <c r="BD211" s="21"/>
      <c r="BE211" s="21"/>
      <c r="BF211" s="21"/>
      <c r="BG211" s="21"/>
      <c r="BH211" s="21"/>
      <c r="BI211" s="21"/>
      <c r="BJ211" s="21"/>
      <c r="BK211" s="21"/>
      <c r="BL211" s="21"/>
      <c r="BM211" s="21"/>
      <c r="BN211" s="21"/>
      <c r="BO211" s="21"/>
      <c r="BP211" s="21"/>
      <c r="BQ211" s="21"/>
      <c r="BR211" s="21"/>
      <c r="BS211" s="21"/>
      <c r="BT211" s="21"/>
      <c r="BU211" s="21"/>
      <c r="BV211" s="21"/>
      <c r="BW211" s="21"/>
      <c r="BX211" s="21"/>
      <c r="BY211" s="21"/>
      <c r="BZ211" s="21"/>
      <c r="CA211" s="21"/>
      <c r="CB211" s="21"/>
      <c r="CC211" s="21"/>
      <c r="CD211" s="21"/>
      <c r="CE211" s="21"/>
      <c r="CF211" s="21"/>
      <c r="CG211" s="21"/>
      <c r="CH211" s="21"/>
      <c r="CI211" s="21"/>
      <c r="CJ211" s="21"/>
      <c r="CK211" s="21"/>
      <c r="CL211" s="21"/>
      <c r="CM211" s="21"/>
      <c r="CN211" s="21"/>
      <c r="CO211" s="21"/>
      <c r="CP211" s="21"/>
      <c r="CQ211" s="21"/>
      <c r="CR211" s="21"/>
      <c r="CS211" s="21"/>
      <c r="CT211" s="21"/>
      <c r="CU211" s="21"/>
      <c r="CV211" s="21"/>
      <c r="CW211" s="21"/>
      <c r="CX211" s="21"/>
      <c r="CY211" s="21"/>
      <c r="CZ211" s="21"/>
      <c r="DA211" s="21"/>
      <c r="DB211" s="21"/>
      <c r="DC211" s="21"/>
      <c r="DD211" s="21"/>
      <c r="DE211" s="21"/>
      <c r="DF211" s="21"/>
      <c r="DG211" s="21"/>
      <c r="DH211" s="21"/>
      <c r="DI211" s="21"/>
      <c r="DJ211" s="21"/>
      <c r="DK211" s="21"/>
      <c r="DL211" s="21"/>
      <c r="DM211" s="21"/>
      <c r="DN211" s="21"/>
      <c r="DO211" s="21"/>
      <c r="DP211" s="21"/>
      <c r="DQ211" s="21"/>
      <c r="DR211" s="21"/>
      <c r="DS211" s="21"/>
      <c r="DT211" s="21"/>
      <c r="DU211" s="21"/>
    </row>
    <row r="212" spans="1:125" x14ac:dyDescent="0.2">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c r="AN212" s="21"/>
      <c r="AO212" s="21"/>
      <c r="AP212" s="21"/>
      <c r="AQ212" s="21"/>
      <c r="AR212" s="21"/>
      <c r="AS212" s="21"/>
      <c r="AT212" s="21"/>
      <c r="AU212" s="21"/>
      <c r="AV212" s="21"/>
      <c r="AW212" s="21"/>
      <c r="AX212" s="21"/>
      <c r="AY212" s="21"/>
      <c r="AZ212" s="21"/>
      <c r="BA212" s="21"/>
      <c r="BB212" s="21"/>
      <c r="BC212" s="21"/>
      <c r="BD212" s="21"/>
      <c r="BE212" s="21"/>
      <c r="BF212" s="21"/>
      <c r="BG212" s="21"/>
      <c r="BH212" s="21"/>
      <c r="BI212" s="21"/>
      <c r="BJ212" s="21"/>
      <c r="BK212" s="21"/>
      <c r="BL212" s="21"/>
      <c r="BM212" s="21"/>
      <c r="BN212" s="21"/>
      <c r="BO212" s="21"/>
      <c r="BP212" s="21"/>
      <c r="BQ212" s="21"/>
      <c r="BR212" s="21"/>
      <c r="BS212" s="21"/>
      <c r="BT212" s="21"/>
      <c r="BU212" s="21"/>
      <c r="BV212" s="21"/>
      <c r="BW212" s="21"/>
      <c r="BX212" s="21"/>
      <c r="BY212" s="21"/>
      <c r="BZ212" s="21"/>
      <c r="CA212" s="21"/>
      <c r="CB212" s="21"/>
      <c r="CC212" s="21"/>
      <c r="CD212" s="21"/>
      <c r="CE212" s="21"/>
      <c r="CF212" s="21"/>
      <c r="CG212" s="21"/>
      <c r="CH212" s="21"/>
      <c r="CI212" s="21"/>
      <c r="CJ212" s="21"/>
      <c r="CK212" s="21"/>
      <c r="CL212" s="21"/>
      <c r="CM212" s="21"/>
      <c r="CN212" s="21"/>
      <c r="CO212" s="21"/>
      <c r="CP212" s="21"/>
      <c r="CQ212" s="21"/>
      <c r="CR212" s="21"/>
      <c r="CS212" s="21"/>
      <c r="CT212" s="21"/>
      <c r="CU212" s="21"/>
      <c r="CV212" s="21"/>
      <c r="CW212" s="21"/>
      <c r="CX212" s="21"/>
      <c r="CY212" s="21"/>
      <c r="CZ212" s="21"/>
      <c r="DA212" s="21"/>
      <c r="DB212" s="21"/>
      <c r="DC212" s="21"/>
      <c r="DD212" s="21"/>
      <c r="DE212" s="21"/>
      <c r="DF212" s="21"/>
      <c r="DG212" s="21"/>
      <c r="DH212" s="21"/>
      <c r="DI212" s="21"/>
      <c r="DJ212" s="21"/>
      <c r="DK212" s="21"/>
      <c r="DL212" s="21"/>
      <c r="DM212" s="21"/>
      <c r="DN212" s="21"/>
      <c r="DO212" s="21"/>
      <c r="DP212" s="21"/>
      <c r="DQ212" s="21"/>
      <c r="DR212" s="21"/>
      <c r="DS212" s="21"/>
      <c r="DT212" s="21"/>
      <c r="DU212" s="21"/>
    </row>
    <row r="213" spans="1:125" x14ac:dyDescent="0.2">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c r="AN213" s="21"/>
      <c r="AO213" s="21"/>
      <c r="AP213" s="21"/>
      <c r="AQ213" s="21"/>
      <c r="AR213" s="21"/>
      <c r="AS213" s="21"/>
      <c r="AT213" s="21"/>
      <c r="AU213" s="21"/>
      <c r="AV213" s="21"/>
      <c r="AW213" s="21"/>
      <c r="AX213" s="21"/>
      <c r="AY213" s="21"/>
      <c r="AZ213" s="21"/>
      <c r="BA213" s="21"/>
      <c r="BB213" s="21"/>
      <c r="BC213" s="21"/>
      <c r="BD213" s="21"/>
      <c r="BE213" s="21"/>
      <c r="BF213" s="21"/>
      <c r="BG213" s="21"/>
      <c r="BH213" s="21"/>
      <c r="BI213" s="21"/>
      <c r="BJ213" s="21"/>
      <c r="BK213" s="21"/>
      <c r="BL213" s="21"/>
      <c r="BM213" s="21"/>
      <c r="BN213" s="21"/>
      <c r="BO213" s="21"/>
      <c r="BP213" s="21"/>
      <c r="BQ213" s="21"/>
      <c r="BR213" s="21"/>
      <c r="BS213" s="21"/>
      <c r="BT213" s="21"/>
      <c r="BU213" s="21"/>
      <c r="BV213" s="21"/>
      <c r="BW213" s="21"/>
      <c r="BX213" s="21"/>
      <c r="BY213" s="21"/>
      <c r="BZ213" s="21"/>
      <c r="CA213" s="21"/>
      <c r="CB213" s="21"/>
      <c r="CC213" s="21"/>
      <c r="CD213" s="21"/>
      <c r="CE213" s="21"/>
      <c r="CF213" s="21"/>
      <c r="CG213" s="21"/>
      <c r="CH213" s="21"/>
      <c r="CI213" s="21"/>
      <c r="CJ213" s="21"/>
      <c r="CK213" s="21"/>
      <c r="CL213" s="21"/>
      <c r="CM213" s="21"/>
      <c r="CN213" s="21"/>
      <c r="CO213" s="21"/>
      <c r="CP213" s="21"/>
      <c r="CQ213" s="21"/>
      <c r="CR213" s="21"/>
      <c r="CS213" s="21"/>
      <c r="CT213" s="21"/>
      <c r="CU213" s="21"/>
      <c r="CV213" s="21"/>
      <c r="CW213" s="21"/>
      <c r="CX213" s="21"/>
      <c r="CY213" s="21"/>
      <c r="CZ213" s="21"/>
      <c r="DA213" s="21"/>
      <c r="DB213" s="21"/>
      <c r="DC213" s="21"/>
      <c r="DD213" s="21"/>
      <c r="DE213" s="21"/>
      <c r="DF213" s="21"/>
      <c r="DG213" s="21"/>
      <c r="DH213" s="21"/>
      <c r="DI213" s="21"/>
      <c r="DJ213" s="21"/>
      <c r="DK213" s="21"/>
      <c r="DL213" s="21"/>
      <c r="DM213" s="21"/>
      <c r="DN213" s="21"/>
      <c r="DO213" s="21"/>
      <c r="DP213" s="21"/>
      <c r="DQ213" s="21"/>
      <c r="DR213" s="21"/>
      <c r="DS213" s="21"/>
      <c r="DT213" s="21"/>
      <c r="DU213" s="21"/>
    </row>
    <row r="214" spans="1:125" x14ac:dyDescent="0.2">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c r="AN214" s="21"/>
      <c r="AO214" s="21"/>
      <c r="AP214" s="21"/>
      <c r="AQ214" s="21"/>
      <c r="AR214" s="21"/>
      <c r="AS214" s="21"/>
      <c r="AT214" s="21"/>
      <c r="AU214" s="21"/>
      <c r="AV214" s="21"/>
      <c r="AW214" s="21"/>
      <c r="AX214" s="21"/>
      <c r="AY214" s="21"/>
      <c r="AZ214" s="21"/>
      <c r="BA214" s="21"/>
      <c r="BB214" s="21"/>
      <c r="BC214" s="21"/>
      <c r="BD214" s="21"/>
      <c r="BE214" s="21"/>
      <c r="BF214" s="21"/>
      <c r="BG214" s="21"/>
      <c r="BH214" s="21"/>
      <c r="BI214" s="21"/>
      <c r="BJ214" s="21"/>
      <c r="BK214" s="21"/>
      <c r="BL214" s="21"/>
      <c r="BM214" s="21"/>
      <c r="BN214" s="21"/>
      <c r="BO214" s="21"/>
      <c r="BP214" s="21"/>
      <c r="BQ214" s="21"/>
      <c r="BR214" s="21"/>
      <c r="BS214" s="21"/>
      <c r="BT214" s="21"/>
      <c r="BU214" s="21"/>
      <c r="BV214" s="21"/>
      <c r="BW214" s="21"/>
      <c r="BX214" s="21"/>
      <c r="BY214" s="21"/>
      <c r="BZ214" s="21"/>
      <c r="CA214" s="21"/>
      <c r="CB214" s="21"/>
      <c r="CC214" s="21"/>
      <c r="CD214" s="21"/>
      <c r="CE214" s="21"/>
      <c r="CF214" s="21"/>
      <c r="CG214" s="21"/>
      <c r="CH214" s="21"/>
      <c r="CI214" s="21"/>
      <c r="CJ214" s="21"/>
      <c r="CK214" s="21"/>
      <c r="CL214" s="21"/>
      <c r="CM214" s="21"/>
      <c r="CN214" s="21"/>
      <c r="CO214" s="21"/>
      <c r="CP214" s="21"/>
      <c r="CQ214" s="21"/>
      <c r="CR214" s="21"/>
      <c r="CS214" s="21"/>
      <c r="CT214" s="21"/>
      <c r="CU214" s="21"/>
      <c r="CV214" s="21"/>
      <c r="CW214" s="21"/>
      <c r="CX214" s="21"/>
      <c r="CY214" s="21"/>
      <c r="CZ214" s="21"/>
      <c r="DA214" s="21"/>
      <c r="DB214" s="21"/>
      <c r="DC214" s="21"/>
      <c r="DD214" s="21"/>
      <c r="DE214" s="21"/>
      <c r="DF214" s="21"/>
      <c r="DG214" s="21"/>
      <c r="DH214" s="21"/>
      <c r="DI214" s="21"/>
      <c r="DJ214" s="21"/>
      <c r="DK214" s="21"/>
      <c r="DL214" s="21"/>
      <c r="DM214" s="21"/>
      <c r="DN214" s="21"/>
      <c r="DO214" s="21"/>
      <c r="DP214" s="21"/>
      <c r="DQ214" s="21"/>
      <c r="DR214" s="21"/>
      <c r="DS214" s="21"/>
      <c r="DT214" s="21"/>
      <c r="DU214" s="21"/>
    </row>
    <row r="215" spans="1:125" x14ac:dyDescent="0.2">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c r="AN215" s="21"/>
      <c r="AO215" s="21"/>
      <c r="AP215" s="21"/>
      <c r="AQ215" s="21"/>
      <c r="AR215" s="21"/>
      <c r="AS215" s="21"/>
      <c r="AT215" s="21"/>
      <c r="AU215" s="21"/>
      <c r="AV215" s="21"/>
      <c r="AW215" s="21"/>
      <c r="AX215" s="21"/>
      <c r="AY215" s="21"/>
      <c r="AZ215" s="21"/>
      <c r="BA215" s="21"/>
      <c r="BB215" s="21"/>
      <c r="BC215" s="21"/>
      <c r="BD215" s="21"/>
      <c r="BE215" s="21"/>
      <c r="BF215" s="21"/>
      <c r="BG215" s="21"/>
      <c r="BH215" s="21"/>
      <c r="BI215" s="21"/>
      <c r="BJ215" s="21"/>
      <c r="BK215" s="21"/>
      <c r="BL215" s="21"/>
      <c r="BM215" s="21"/>
      <c r="BN215" s="21"/>
      <c r="BO215" s="21"/>
      <c r="BP215" s="21"/>
      <c r="BQ215" s="21"/>
      <c r="BR215" s="21"/>
      <c r="BS215" s="21"/>
      <c r="BT215" s="21"/>
      <c r="BU215" s="21"/>
      <c r="BV215" s="21"/>
      <c r="BW215" s="21"/>
      <c r="BX215" s="21"/>
      <c r="BY215" s="21"/>
      <c r="BZ215" s="21"/>
      <c r="CA215" s="21"/>
      <c r="CB215" s="21"/>
      <c r="CC215" s="21"/>
      <c r="CD215" s="21"/>
      <c r="CE215" s="21"/>
      <c r="CF215" s="21"/>
      <c r="CG215" s="21"/>
      <c r="CH215" s="21"/>
      <c r="CI215" s="21"/>
      <c r="CJ215" s="21"/>
      <c r="CK215" s="21"/>
      <c r="CL215" s="21"/>
      <c r="CM215" s="21"/>
      <c r="CN215" s="21"/>
      <c r="CO215" s="21"/>
      <c r="CP215" s="21"/>
      <c r="CQ215" s="21"/>
      <c r="CR215" s="21"/>
      <c r="CS215" s="21"/>
      <c r="CT215" s="21"/>
      <c r="CU215" s="21"/>
      <c r="CV215" s="21"/>
      <c r="CW215" s="21"/>
      <c r="CX215" s="21"/>
      <c r="CY215" s="21"/>
      <c r="CZ215" s="21"/>
      <c r="DA215" s="21"/>
      <c r="DB215" s="21"/>
      <c r="DC215" s="21"/>
      <c r="DD215" s="21"/>
      <c r="DE215" s="21"/>
      <c r="DF215" s="21"/>
      <c r="DG215" s="21"/>
      <c r="DH215" s="21"/>
      <c r="DI215" s="21"/>
      <c r="DJ215" s="21"/>
      <c r="DK215" s="21"/>
      <c r="DL215" s="21"/>
      <c r="DM215" s="21"/>
      <c r="DN215" s="21"/>
      <c r="DO215" s="21"/>
      <c r="DP215" s="21"/>
      <c r="DQ215" s="21"/>
      <c r="DR215" s="21"/>
      <c r="DS215" s="21"/>
      <c r="DT215" s="21"/>
      <c r="DU215" s="21"/>
    </row>
    <row r="216" spans="1:125" x14ac:dyDescent="0.2">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c r="AN216" s="21"/>
      <c r="AO216" s="21"/>
      <c r="AP216" s="21"/>
      <c r="AQ216" s="21"/>
      <c r="AR216" s="21"/>
      <c r="AS216" s="21"/>
      <c r="AT216" s="21"/>
      <c r="AU216" s="21"/>
      <c r="AV216" s="21"/>
      <c r="AW216" s="21"/>
      <c r="AX216" s="21"/>
      <c r="AY216" s="21"/>
      <c r="AZ216" s="21"/>
      <c r="BA216" s="21"/>
      <c r="BB216" s="21"/>
      <c r="BC216" s="21"/>
      <c r="BD216" s="21"/>
      <c r="BE216" s="21"/>
      <c r="BF216" s="21"/>
      <c r="BG216" s="21"/>
      <c r="BH216" s="21"/>
      <c r="BI216" s="21"/>
      <c r="BJ216" s="21"/>
      <c r="BK216" s="21"/>
      <c r="BL216" s="21"/>
      <c r="BM216" s="21"/>
      <c r="BN216" s="21"/>
      <c r="BO216" s="21"/>
      <c r="BP216" s="21"/>
      <c r="BQ216" s="21"/>
      <c r="BR216" s="21"/>
      <c r="BS216" s="21"/>
      <c r="BT216" s="21"/>
      <c r="BU216" s="21"/>
      <c r="BV216" s="21"/>
      <c r="BW216" s="21"/>
      <c r="BX216" s="21"/>
      <c r="BY216" s="21"/>
      <c r="BZ216" s="21"/>
      <c r="CA216" s="21"/>
      <c r="CB216" s="21"/>
      <c r="CC216" s="21"/>
      <c r="CD216" s="21"/>
      <c r="CE216" s="21"/>
      <c r="CF216" s="21"/>
      <c r="CG216" s="21"/>
      <c r="CH216" s="21"/>
      <c r="CI216" s="21"/>
      <c r="CJ216" s="21"/>
      <c r="CK216" s="21"/>
      <c r="CL216" s="21"/>
      <c r="CM216" s="21"/>
      <c r="CN216" s="21"/>
      <c r="CO216" s="21"/>
      <c r="CP216" s="21"/>
      <c r="CQ216" s="21"/>
      <c r="CR216" s="21"/>
      <c r="CS216" s="21"/>
      <c r="CT216" s="21"/>
      <c r="CU216" s="21"/>
      <c r="CV216" s="21"/>
      <c r="CW216" s="21"/>
      <c r="CX216" s="21"/>
      <c r="CY216" s="21"/>
      <c r="CZ216" s="21"/>
      <c r="DA216" s="21"/>
      <c r="DB216" s="21"/>
      <c r="DC216" s="21"/>
      <c r="DD216" s="21"/>
      <c r="DE216" s="21"/>
      <c r="DF216" s="21"/>
      <c r="DG216" s="21"/>
      <c r="DH216" s="21"/>
      <c r="DI216" s="21"/>
      <c r="DJ216" s="21"/>
      <c r="DK216" s="21"/>
      <c r="DL216" s="21"/>
      <c r="DM216" s="21"/>
      <c r="DN216" s="21"/>
      <c r="DO216" s="21"/>
      <c r="DP216" s="21"/>
      <c r="DQ216" s="21"/>
      <c r="DR216" s="21"/>
      <c r="DS216" s="21"/>
      <c r="DT216" s="21"/>
      <c r="DU216" s="21"/>
    </row>
    <row r="217" spans="1:125" x14ac:dyDescent="0.2">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c r="AN217" s="21"/>
      <c r="AO217" s="21"/>
      <c r="AP217" s="21"/>
      <c r="AQ217" s="21"/>
      <c r="AR217" s="21"/>
      <c r="AS217" s="21"/>
      <c r="AT217" s="21"/>
      <c r="AU217" s="21"/>
      <c r="AV217" s="21"/>
      <c r="AW217" s="21"/>
      <c r="AX217" s="21"/>
      <c r="AY217" s="21"/>
      <c r="AZ217" s="21"/>
      <c r="BA217" s="21"/>
      <c r="BB217" s="21"/>
      <c r="BC217" s="21"/>
      <c r="BD217" s="21"/>
      <c r="BE217" s="21"/>
      <c r="BF217" s="21"/>
      <c r="BG217" s="21"/>
      <c r="BH217" s="21"/>
      <c r="BI217" s="21"/>
      <c r="BJ217" s="21"/>
      <c r="BK217" s="21"/>
      <c r="BL217" s="21"/>
      <c r="BM217" s="21"/>
      <c r="BN217" s="21"/>
      <c r="BO217" s="21"/>
      <c r="BP217" s="21"/>
      <c r="BQ217" s="21"/>
      <c r="BR217" s="21"/>
      <c r="BS217" s="21"/>
      <c r="BT217" s="21"/>
      <c r="BU217" s="21"/>
      <c r="BV217" s="21"/>
      <c r="BW217" s="21"/>
      <c r="BX217" s="21"/>
      <c r="BY217" s="21"/>
      <c r="BZ217" s="21"/>
      <c r="CA217" s="21"/>
      <c r="CB217" s="21"/>
      <c r="CC217" s="21"/>
      <c r="CD217" s="21"/>
      <c r="CE217" s="21"/>
      <c r="CF217" s="21"/>
      <c r="CG217" s="21"/>
      <c r="CH217" s="21"/>
      <c r="CI217" s="21"/>
      <c r="CJ217" s="21"/>
      <c r="CK217" s="21"/>
      <c r="CL217" s="21"/>
      <c r="CM217" s="21"/>
      <c r="CN217" s="21"/>
      <c r="CO217" s="21"/>
      <c r="CP217" s="21"/>
      <c r="CQ217" s="21"/>
      <c r="CR217" s="21"/>
      <c r="CS217" s="21"/>
      <c r="CT217" s="21"/>
      <c r="CU217" s="21"/>
      <c r="CV217" s="21"/>
      <c r="CW217" s="21"/>
      <c r="CX217" s="21"/>
      <c r="CY217" s="21"/>
      <c r="CZ217" s="21"/>
      <c r="DA217" s="21"/>
      <c r="DB217" s="21"/>
      <c r="DC217" s="21"/>
      <c r="DD217" s="21"/>
      <c r="DE217" s="21"/>
      <c r="DF217" s="21"/>
      <c r="DG217" s="21"/>
      <c r="DH217" s="21"/>
      <c r="DI217" s="21"/>
      <c r="DJ217" s="21"/>
      <c r="DK217" s="21"/>
      <c r="DL217" s="21"/>
      <c r="DM217" s="21"/>
      <c r="DN217" s="21"/>
      <c r="DO217" s="21"/>
      <c r="DP217" s="21"/>
      <c r="DQ217" s="21"/>
      <c r="DR217" s="21"/>
      <c r="DS217" s="21"/>
      <c r="DT217" s="21"/>
      <c r="DU217" s="21"/>
    </row>
    <row r="218" spans="1:125" x14ac:dyDescent="0.2">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c r="AN218" s="21"/>
      <c r="AO218" s="21"/>
      <c r="AP218" s="21"/>
      <c r="AQ218" s="21"/>
      <c r="AR218" s="21"/>
      <c r="AS218" s="21"/>
      <c r="AT218" s="21"/>
      <c r="AU218" s="21"/>
      <c r="AV218" s="21"/>
      <c r="AW218" s="21"/>
      <c r="AX218" s="21"/>
      <c r="AY218" s="21"/>
      <c r="AZ218" s="21"/>
      <c r="BA218" s="21"/>
      <c r="BB218" s="21"/>
      <c r="BC218" s="21"/>
      <c r="BD218" s="21"/>
      <c r="BE218" s="21"/>
      <c r="BF218" s="21"/>
      <c r="BG218" s="21"/>
      <c r="BH218" s="21"/>
      <c r="BI218" s="21"/>
      <c r="BJ218" s="21"/>
      <c r="BK218" s="21"/>
      <c r="BL218" s="21"/>
      <c r="BM218" s="21"/>
      <c r="BN218" s="21"/>
      <c r="BO218" s="21"/>
      <c r="BP218" s="21"/>
      <c r="BQ218" s="21"/>
      <c r="BR218" s="21"/>
      <c r="BS218" s="21"/>
      <c r="BT218" s="21"/>
      <c r="BU218" s="21"/>
      <c r="BV218" s="21"/>
      <c r="BW218" s="21"/>
      <c r="BX218" s="21"/>
      <c r="BY218" s="21"/>
      <c r="BZ218" s="21"/>
      <c r="CA218" s="21"/>
      <c r="CB218" s="21"/>
      <c r="CC218" s="21"/>
      <c r="CD218" s="21"/>
      <c r="CE218" s="21"/>
      <c r="CF218" s="21"/>
      <c r="CG218" s="21"/>
      <c r="CH218" s="21"/>
      <c r="CI218" s="21"/>
      <c r="CJ218" s="21"/>
      <c r="CK218" s="21"/>
      <c r="CL218" s="21"/>
      <c r="CM218" s="21"/>
      <c r="CN218" s="21"/>
      <c r="CO218" s="21"/>
      <c r="CP218" s="21"/>
      <c r="CQ218" s="21"/>
      <c r="CR218" s="21"/>
      <c r="CS218" s="21"/>
      <c r="CT218" s="21"/>
      <c r="CU218" s="21"/>
      <c r="CV218" s="21"/>
      <c r="CW218" s="21"/>
      <c r="CX218" s="21"/>
      <c r="CY218" s="21"/>
      <c r="CZ218" s="21"/>
      <c r="DA218" s="21"/>
      <c r="DB218" s="21"/>
      <c r="DC218" s="21"/>
      <c r="DD218" s="21"/>
      <c r="DE218" s="21"/>
      <c r="DF218" s="21"/>
      <c r="DG218" s="21"/>
      <c r="DH218" s="21"/>
      <c r="DI218" s="21"/>
      <c r="DJ218" s="21"/>
      <c r="DK218" s="21"/>
      <c r="DL218" s="21"/>
      <c r="DM218" s="21"/>
      <c r="DN218" s="21"/>
      <c r="DO218" s="21"/>
      <c r="DP218" s="21"/>
      <c r="DQ218" s="21"/>
      <c r="DR218" s="21"/>
      <c r="DS218" s="21"/>
      <c r="DT218" s="21"/>
      <c r="DU218" s="21"/>
    </row>
    <row r="219" spans="1:125" x14ac:dyDescent="0.2">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c r="AN219" s="21"/>
      <c r="AO219" s="21"/>
      <c r="AP219" s="21"/>
      <c r="AQ219" s="21"/>
      <c r="AR219" s="21"/>
      <c r="AS219" s="21"/>
      <c r="AT219" s="21"/>
      <c r="AU219" s="21"/>
      <c r="AV219" s="21"/>
      <c r="AW219" s="21"/>
      <c r="AX219" s="21"/>
      <c r="AY219" s="21"/>
      <c r="AZ219" s="21"/>
      <c r="BA219" s="21"/>
      <c r="BB219" s="21"/>
      <c r="BC219" s="21"/>
      <c r="BD219" s="21"/>
      <c r="BE219" s="21"/>
      <c r="BF219" s="21"/>
      <c r="BG219" s="21"/>
      <c r="BH219" s="21"/>
      <c r="BI219" s="21"/>
      <c r="BJ219" s="21"/>
      <c r="BK219" s="21"/>
      <c r="BL219" s="21"/>
      <c r="BM219" s="21"/>
      <c r="BN219" s="21"/>
      <c r="BO219" s="21"/>
      <c r="BP219" s="21"/>
      <c r="BQ219" s="21"/>
      <c r="BR219" s="21"/>
      <c r="BS219" s="21"/>
      <c r="BT219" s="21"/>
      <c r="BU219" s="21"/>
      <c r="BV219" s="21"/>
      <c r="BW219" s="21"/>
      <c r="BX219" s="21"/>
      <c r="BY219" s="21"/>
      <c r="BZ219" s="21"/>
      <c r="CA219" s="21"/>
      <c r="CB219" s="21"/>
      <c r="CC219" s="21"/>
      <c r="CD219" s="21"/>
      <c r="CE219" s="21"/>
      <c r="CF219" s="21"/>
      <c r="CG219" s="21"/>
      <c r="CH219" s="21"/>
      <c r="CI219" s="21"/>
      <c r="CJ219" s="21"/>
      <c r="CK219" s="21"/>
      <c r="CL219" s="21"/>
      <c r="CM219" s="21"/>
      <c r="CN219" s="21"/>
      <c r="CO219" s="21"/>
      <c r="CP219" s="21"/>
      <c r="CQ219" s="21"/>
      <c r="CR219" s="21"/>
      <c r="CS219" s="21"/>
      <c r="CT219" s="21"/>
      <c r="CU219" s="21"/>
      <c r="CV219" s="21"/>
      <c r="CW219" s="21"/>
      <c r="CX219" s="21"/>
      <c r="CY219" s="21"/>
      <c r="CZ219" s="21"/>
      <c r="DA219" s="21"/>
      <c r="DB219" s="21"/>
      <c r="DC219" s="21"/>
      <c r="DD219" s="21"/>
      <c r="DE219" s="21"/>
      <c r="DF219" s="21"/>
      <c r="DG219" s="21"/>
      <c r="DH219" s="21"/>
      <c r="DI219" s="21"/>
      <c r="DJ219" s="21"/>
      <c r="DK219" s="21"/>
      <c r="DL219" s="21"/>
      <c r="DM219" s="21"/>
      <c r="DN219" s="21"/>
      <c r="DO219" s="21"/>
      <c r="DP219" s="21"/>
      <c r="DQ219" s="21"/>
      <c r="DR219" s="21"/>
      <c r="DS219" s="21"/>
      <c r="DT219" s="21"/>
      <c r="DU219" s="21"/>
    </row>
    <row r="220" spans="1:125" x14ac:dyDescent="0.2">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21"/>
      <c r="AS220" s="21"/>
      <c r="AT220" s="21"/>
      <c r="AU220" s="21"/>
      <c r="AV220" s="21"/>
      <c r="AW220" s="21"/>
      <c r="AX220" s="21"/>
      <c r="AY220" s="21"/>
      <c r="AZ220" s="21"/>
      <c r="BA220" s="21"/>
      <c r="BB220" s="21"/>
      <c r="BC220" s="21"/>
      <c r="BD220" s="21"/>
      <c r="BE220" s="21"/>
      <c r="BF220" s="21"/>
      <c r="BG220" s="21"/>
      <c r="BH220" s="21"/>
      <c r="BI220" s="21"/>
      <c r="BJ220" s="21"/>
      <c r="BK220" s="21"/>
      <c r="BL220" s="21"/>
      <c r="BM220" s="21"/>
      <c r="BN220" s="21"/>
      <c r="BO220" s="21"/>
      <c r="BP220" s="21"/>
      <c r="BQ220" s="21"/>
      <c r="BR220" s="21"/>
      <c r="BS220" s="21"/>
      <c r="BT220" s="21"/>
      <c r="BU220" s="21"/>
      <c r="BV220" s="21"/>
      <c r="BW220" s="21"/>
      <c r="BX220" s="21"/>
      <c r="BY220" s="21"/>
      <c r="BZ220" s="21"/>
      <c r="CA220" s="21"/>
      <c r="CB220" s="21"/>
      <c r="CC220" s="21"/>
      <c r="CD220" s="21"/>
      <c r="CE220" s="21"/>
      <c r="CF220" s="21"/>
      <c r="CG220" s="21"/>
      <c r="CH220" s="21"/>
      <c r="CI220" s="21"/>
      <c r="CJ220" s="21"/>
      <c r="CK220" s="21"/>
      <c r="CL220" s="21"/>
      <c r="CM220" s="21"/>
      <c r="CN220" s="21"/>
      <c r="CO220" s="21"/>
      <c r="CP220" s="21"/>
      <c r="CQ220" s="21"/>
      <c r="CR220" s="21"/>
      <c r="CS220" s="21"/>
      <c r="CT220" s="21"/>
      <c r="CU220" s="21"/>
      <c r="CV220" s="21"/>
      <c r="CW220" s="21"/>
      <c r="CX220" s="21"/>
      <c r="CY220" s="21"/>
      <c r="CZ220" s="21"/>
      <c r="DA220" s="21"/>
      <c r="DB220" s="21"/>
      <c r="DC220" s="21"/>
      <c r="DD220" s="21"/>
      <c r="DE220" s="21"/>
      <c r="DF220" s="21"/>
      <c r="DG220" s="21"/>
      <c r="DH220" s="21"/>
      <c r="DI220" s="21"/>
      <c r="DJ220" s="21"/>
      <c r="DK220" s="21"/>
      <c r="DL220" s="21"/>
      <c r="DM220" s="21"/>
      <c r="DN220" s="21"/>
      <c r="DO220" s="21"/>
      <c r="DP220" s="21"/>
      <c r="DQ220" s="21"/>
      <c r="DR220" s="21"/>
      <c r="DS220" s="21"/>
      <c r="DT220" s="21"/>
      <c r="DU220" s="21"/>
    </row>
    <row r="221" spans="1:125" x14ac:dyDescent="0.2">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21"/>
      <c r="AS221" s="21"/>
      <c r="AT221" s="21"/>
      <c r="AU221" s="21"/>
      <c r="AV221" s="21"/>
      <c r="AW221" s="21"/>
      <c r="AX221" s="21"/>
      <c r="AY221" s="21"/>
      <c r="AZ221" s="21"/>
      <c r="BA221" s="21"/>
      <c r="BB221" s="21"/>
      <c r="BC221" s="21"/>
      <c r="BD221" s="21"/>
      <c r="BE221" s="21"/>
      <c r="BF221" s="21"/>
      <c r="BG221" s="21"/>
      <c r="BH221" s="21"/>
      <c r="BI221" s="21"/>
      <c r="BJ221" s="21"/>
      <c r="BK221" s="21"/>
      <c r="BL221" s="21"/>
      <c r="BM221" s="21"/>
      <c r="BN221" s="21"/>
      <c r="BO221" s="21"/>
      <c r="BP221" s="21"/>
      <c r="BQ221" s="21"/>
      <c r="BR221" s="21"/>
      <c r="BS221" s="21"/>
      <c r="BT221" s="21"/>
      <c r="BU221" s="21"/>
      <c r="BV221" s="21"/>
      <c r="BW221" s="21"/>
      <c r="BX221" s="21"/>
      <c r="BY221" s="21"/>
      <c r="BZ221" s="21"/>
      <c r="CA221" s="21"/>
      <c r="CB221" s="21"/>
      <c r="CC221" s="21"/>
      <c r="CD221" s="21"/>
      <c r="CE221" s="21"/>
      <c r="CF221" s="21"/>
      <c r="CG221" s="21"/>
      <c r="CH221" s="21"/>
      <c r="CI221" s="21"/>
      <c r="CJ221" s="21"/>
      <c r="CK221" s="21"/>
      <c r="CL221" s="21"/>
      <c r="CM221" s="21"/>
      <c r="CN221" s="21"/>
      <c r="CO221" s="21"/>
      <c r="CP221" s="21"/>
      <c r="CQ221" s="21"/>
      <c r="CR221" s="21"/>
      <c r="CS221" s="21"/>
      <c r="CT221" s="21"/>
      <c r="CU221" s="21"/>
      <c r="CV221" s="21"/>
      <c r="CW221" s="21"/>
      <c r="CX221" s="21"/>
      <c r="CY221" s="21"/>
      <c r="CZ221" s="21"/>
      <c r="DA221" s="21"/>
      <c r="DB221" s="21"/>
      <c r="DC221" s="21"/>
      <c r="DD221" s="21"/>
      <c r="DE221" s="21"/>
      <c r="DF221" s="21"/>
      <c r="DG221" s="21"/>
      <c r="DH221" s="21"/>
      <c r="DI221" s="21"/>
      <c r="DJ221" s="21"/>
      <c r="DK221" s="21"/>
      <c r="DL221" s="21"/>
      <c r="DM221" s="21"/>
      <c r="DN221" s="21"/>
      <c r="DO221" s="21"/>
      <c r="DP221" s="21"/>
      <c r="DQ221" s="21"/>
      <c r="DR221" s="21"/>
      <c r="DS221" s="21"/>
      <c r="DT221" s="21"/>
      <c r="DU221" s="21"/>
    </row>
    <row r="222" spans="1:125" x14ac:dyDescent="0.2">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1"/>
      <c r="AX222" s="21"/>
      <c r="AY222" s="21"/>
      <c r="AZ222" s="21"/>
      <c r="BA222" s="21"/>
      <c r="BB222" s="21"/>
      <c r="BC222" s="21"/>
      <c r="BD222" s="21"/>
      <c r="BE222" s="21"/>
      <c r="BF222" s="21"/>
      <c r="BG222" s="21"/>
      <c r="BH222" s="21"/>
      <c r="BI222" s="21"/>
      <c r="BJ222" s="21"/>
      <c r="BK222" s="21"/>
      <c r="BL222" s="21"/>
      <c r="BM222" s="21"/>
      <c r="BN222" s="21"/>
      <c r="BO222" s="21"/>
      <c r="BP222" s="21"/>
      <c r="BQ222" s="21"/>
      <c r="BR222" s="21"/>
      <c r="BS222" s="21"/>
      <c r="BT222" s="21"/>
      <c r="BU222" s="21"/>
      <c r="BV222" s="21"/>
      <c r="BW222" s="21"/>
      <c r="BX222" s="21"/>
      <c r="BY222" s="21"/>
      <c r="BZ222" s="21"/>
      <c r="CA222" s="21"/>
      <c r="CB222" s="21"/>
      <c r="CC222" s="21"/>
      <c r="CD222" s="21"/>
      <c r="CE222" s="21"/>
      <c r="CF222" s="21"/>
      <c r="CG222" s="21"/>
      <c r="CH222" s="21"/>
      <c r="CI222" s="21"/>
      <c r="CJ222" s="21"/>
      <c r="CK222" s="21"/>
      <c r="CL222" s="21"/>
      <c r="CM222" s="21"/>
      <c r="CN222" s="21"/>
      <c r="CO222" s="21"/>
      <c r="CP222" s="21"/>
      <c r="CQ222" s="21"/>
      <c r="CR222" s="21"/>
      <c r="CS222" s="21"/>
      <c r="CT222" s="21"/>
      <c r="CU222" s="21"/>
      <c r="CV222" s="21"/>
      <c r="CW222" s="21"/>
      <c r="CX222" s="21"/>
      <c r="CY222" s="21"/>
      <c r="CZ222" s="21"/>
      <c r="DA222" s="21"/>
      <c r="DB222" s="21"/>
      <c r="DC222" s="21"/>
      <c r="DD222" s="21"/>
      <c r="DE222" s="21"/>
      <c r="DF222" s="21"/>
      <c r="DG222" s="21"/>
      <c r="DH222" s="21"/>
      <c r="DI222" s="21"/>
      <c r="DJ222" s="21"/>
      <c r="DK222" s="21"/>
      <c r="DL222" s="21"/>
      <c r="DM222" s="21"/>
      <c r="DN222" s="21"/>
      <c r="DO222" s="21"/>
      <c r="DP222" s="21"/>
      <c r="DQ222" s="21"/>
      <c r="DR222" s="21"/>
      <c r="DS222" s="21"/>
      <c r="DT222" s="21"/>
      <c r="DU222" s="21"/>
    </row>
    <row r="223" spans="1:125" x14ac:dyDescent="0.2">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21"/>
      <c r="AS223" s="21"/>
      <c r="AT223" s="21"/>
      <c r="AU223" s="21"/>
      <c r="AV223" s="21"/>
      <c r="AW223" s="21"/>
      <c r="AX223" s="21"/>
      <c r="AY223" s="21"/>
      <c r="AZ223" s="21"/>
      <c r="BA223" s="21"/>
      <c r="BB223" s="21"/>
      <c r="BC223" s="21"/>
      <c r="BD223" s="21"/>
      <c r="BE223" s="21"/>
      <c r="BF223" s="21"/>
      <c r="BG223" s="21"/>
      <c r="BH223" s="21"/>
      <c r="BI223" s="21"/>
      <c r="BJ223" s="21"/>
      <c r="BK223" s="21"/>
      <c r="BL223" s="21"/>
      <c r="BM223" s="21"/>
      <c r="BN223" s="21"/>
      <c r="BO223" s="21"/>
      <c r="BP223" s="21"/>
      <c r="BQ223" s="21"/>
      <c r="BR223" s="21"/>
      <c r="BS223" s="21"/>
      <c r="BT223" s="21"/>
      <c r="BU223" s="21"/>
      <c r="BV223" s="21"/>
      <c r="BW223" s="21"/>
      <c r="BX223" s="21"/>
      <c r="BY223" s="21"/>
      <c r="BZ223" s="21"/>
      <c r="CA223" s="21"/>
      <c r="CB223" s="21"/>
      <c r="CC223" s="21"/>
      <c r="CD223" s="21"/>
      <c r="CE223" s="21"/>
      <c r="CF223" s="21"/>
      <c r="CG223" s="21"/>
      <c r="CH223" s="21"/>
      <c r="CI223" s="21"/>
      <c r="CJ223" s="21"/>
      <c r="CK223" s="21"/>
      <c r="CL223" s="21"/>
      <c r="CM223" s="21"/>
      <c r="CN223" s="21"/>
      <c r="CO223" s="21"/>
      <c r="CP223" s="21"/>
      <c r="CQ223" s="21"/>
      <c r="CR223" s="21"/>
      <c r="CS223" s="21"/>
      <c r="CT223" s="21"/>
      <c r="CU223" s="21"/>
      <c r="CV223" s="21"/>
      <c r="CW223" s="21"/>
      <c r="CX223" s="21"/>
      <c r="CY223" s="21"/>
      <c r="CZ223" s="21"/>
      <c r="DA223" s="21"/>
      <c r="DB223" s="21"/>
      <c r="DC223" s="21"/>
      <c r="DD223" s="21"/>
      <c r="DE223" s="21"/>
      <c r="DF223" s="21"/>
      <c r="DG223" s="21"/>
      <c r="DH223" s="21"/>
      <c r="DI223" s="21"/>
      <c r="DJ223" s="21"/>
      <c r="DK223" s="21"/>
      <c r="DL223" s="21"/>
      <c r="DM223" s="21"/>
      <c r="DN223" s="21"/>
      <c r="DO223" s="21"/>
      <c r="DP223" s="21"/>
      <c r="DQ223" s="21"/>
      <c r="DR223" s="21"/>
      <c r="DS223" s="21"/>
      <c r="DT223" s="21"/>
      <c r="DU223" s="21"/>
    </row>
    <row r="224" spans="1:125" x14ac:dyDescent="0.2">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21"/>
      <c r="AS224" s="21"/>
      <c r="AT224" s="21"/>
      <c r="AU224" s="21"/>
      <c r="AV224" s="21"/>
      <c r="AW224" s="21"/>
      <c r="AX224" s="21"/>
      <c r="AY224" s="21"/>
      <c r="AZ224" s="21"/>
      <c r="BA224" s="21"/>
      <c r="BB224" s="21"/>
      <c r="BC224" s="21"/>
      <c r="BD224" s="21"/>
      <c r="BE224" s="21"/>
      <c r="BF224" s="21"/>
      <c r="BG224" s="21"/>
      <c r="BH224" s="21"/>
      <c r="BI224" s="21"/>
      <c r="BJ224" s="21"/>
      <c r="BK224" s="21"/>
      <c r="BL224" s="21"/>
      <c r="BM224" s="21"/>
      <c r="BN224" s="21"/>
      <c r="BO224" s="21"/>
      <c r="BP224" s="21"/>
      <c r="BQ224" s="21"/>
      <c r="BR224" s="21"/>
      <c r="BS224" s="21"/>
      <c r="BT224" s="21"/>
      <c r="BU224" s="21"/>
      <c r="BV224" s="21"/>
      <c r="BW224" s="21"/>
      <c r="BX224" s="21"/>
      <c r="BY224" s="21"/>
      <c r="BZ224" s="21"/>
      <c r="CA224" s="21"/>
      <c r="CB224" s="21"/>
      <c r="CC224" s="21"/>
      <c r="CD224" s="21"/>
      <c r="CE224" s="21"/>
      <c r="CF224" s="21"/>
      <c r="CG224" s="21"/>
      <c r="CH224" s="21"/>
      <c r="CI224" s="21"/>
      <c r="CJ224" s="21"/>
      <c r="CK224" s="21"/>
      <c r="CL224" s="21"/>
      <c r="CM224" s="21"/>
      <c r="CN224" s="21"/>
      <c r="CO224" s="21"/>
      <c r="CP224" s="21"/>
      <c r="CQ224" s="21"/>
      <c r="CR224" s="21"/>
      <c r="CS224" s="21"/>
      <c r="CT224" s="21"/>
      <c r="CU224" s="21"/>
      <c r="CV224" s="21"/>
      <c r="CW224" s="21"/>
      <c r="CX224" s="21"/>
      <c r="CY224" s="21"/>
      <c r="CZ224" s="21"/>
      <c r="DA224" s="21"/>
      <c r="DB224" s="21"/>
      <c r="DC224" s="21"/>
      <c r="DD224" s="21"/>
      <c r="DE224" s="21"/>
      <c r="DF224" s="21"/>
      <c r="DG224" s="21"/>
      <c r="DH224" s="21"/>
      <c r="DI224" s="21"/>
      <c r="DJ224" s="21"/>
      <c r="DK224" s="21"/>
      <c r="DL224" s="21"/>
      <c r="DM224" s="21"/>
      <c r="DN224" s="21"/>
      <c r="DO224" s="21"/>
      <c r="DP224" s="21"/>
      <c r="DQ224" s="21"/>
      <c r="DR224" s="21"/>
      <c r="DS224" s="21"/>
      <c r="DT224" s="21"/>
      <c r="DU224" s="21"/>
    </row>
    <row r="225" spans="1:125" x14ac:dyDescent="0.2">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21"/>
      <c r="AS225" s="21"/>
      <c r="AT225" s="21"/>
      <c r="AU225" s="21"/>
      <c r="AV225" s="21"/>
      <c r="AW225" s="21"/>
      <c r="AX225" s="21"/>
      <c r="AY225" s="21"/>
      <c r="AZ225" s="21"/>
      <c r="BA225" s="21"/>
      <c r="BB225" s="21"/>
      <c r="BC225" s="21"/>
      <c r="BD225" s="21"/>
      <c r="BE225" s="21"/>
      <c r="BF225" s="21"/>
      <c r="BG225" s="21"/>
      <c r="BH225" s="21"/>
      <c r="BI225" s="21"/>
      <c r="BJ225" s="21"/>
      <c r="BK225" s="21"/>
      <c r="BL225" s="21"/>
      <c r="BM225" s="21"/>
      <c r="BN225" s="21"/>
      <c r="BO225" s="21"/>
      <c r="BP225" s="21"/>
      <c r="BQ225" s="21"/>
      <c r="BR225" s="21"/>
      <c r="BS225" s="21"/>
      <c r="BT225" s="21"/>
      <c r="BU225" s="21"/>
      <c r="BV225" s="21"/>
      <c r="BW225" s="21"/>
      <c r="BX225" s="21"/>
      <c r="BY225" s="21"/>
      <c r="BZ225" s="21"/>
      <c r="CA225" s="21"/>
      <c r="CB225" s="21"/>
      <c r="CC225" s="21"/>
      <c r="CD225" s="21"/>
      <c r="CE225" s="21"/>
      <c r="CF225" s="21"/>
      <c r="CG225" s="21"/>
      <c r="CH225" s="21"/>
      <c r="CI225" s="21"/>
      <c r="CJ225" s="21"/>
      <c r="CK225" s="21"/>
      <c r="CL225" s="21"/>
      <c r="CM225" s="21"/>
      <c r="CN225" s="21"/>
      <c r="CO225" s="21"/>
      <c r="CP225" s="21"/>
      <c r="CQ225" s="21"/>
      <c r="CR225" s="21"/>
      <c r="CS225" s="21"/>
      <c r="CT225" s="21"/>
      <c r="CU225" s="21"/>
      <c r="CV225" s="21"/>
      <c r="CW225" s="21"/>
      <c r="CX225" s="21"/>
      <c r="CY225" s="21"/>
      <c r="CZ225" s="21"/>
      <c r="DA225" s="21"/>
      <c r="DB225" s="21"/>
      <c r="DC225" s="21"/>
      <c r="DD225" s="21"/>
      <c r="DE225" s="21"/>
      <c r="DF225" s="21"/>
      <c r="DG225" s="21"/>
      <c r="DH225" s="21"/>
      <c r="DI225" s="21"/>
      <c r="DJ225" s="21"/>
      <c r="DK225" s="21"/>
      <c r="DL225" s="21"/>
      <c r="DM225" s="21"/>
      <c r="DN225" s="21"/>
      <c r="DO225" s="21"/>
      <c r="DP225" s="21"/>
      <c r="DQ225" s="21"/>
      <c r="DR225" s="21"/>
      <c r="DS225" s="21"/>
      <c r="DT225" s="21"/>
      <c r="DU225" s="21"/>
    </row>
    <row r="226" spans="1:125" x14ac:dyDescent="0.2">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21"/>
      <c r="AS226" s="21"/>
      <c r="AT226" s="21"/>
      <c r="AU226" s="21"/>
      <c r="AV226" s="21"/>
      <c r="AW226" s="21"/>
      <c r="AX226" s="21"/>
      <c r="AY226" s="21"/>
      <c r="AZ226" s="21"/>
      <c r="BA226" s="21"/>
      <c r="BB226" s="21"/>
      <c r="BC226" s="21"/>
      <c r="BD226" s="21"/>
      <c r="BE226" s="21"/>
      <c r="BF226" s="21"/>
      <c r="BG226" s="21"/>
      <c r="BH226" s="21"/>
      <c r="BI226" s="21"/>
      <c r="BJ226" s="21"/>
      <c r="BK226" s="21"/>
      <c r="BL226" s="21"/>
      <c r="BM226" s="21"/>
      <c r="BN226" s="21"/>
      <c r="BO226" s="21"/>
      <c r="BP226" s="21"/>
      <c r="BQ226" s="21"/>
      <c r="BR226" s="21"/>
      <c r="BS226" s="21"/>
      <c r="BT226" s="21"/>
      <c r="BU226" s="21"/>
      <c r="BV226" s="21"/>
      <c r="BW226" s="21"/>
      <c r="BX226" s="21"/>
      <c r="BY226" s="21"/>
      <c r="BZ226" s="21"/>
      <c r="CA226" s="21"/>
      <c r="CB226" s="21"/>
      <c r="CC226" s="21"/>
      <c r="CD226" s="21"/>
      <c r="CE226" s="21"/>
      <c r="CF226" s="21"/>
      <c r="CG226" s="21"/>
      <c r="CH226" s="21"/>
      <c r="CI226" s="21"/>
      <c r="CJ226" s="21"/>
      <c r="CK226" s="21"/>
      <c r="CL226" s="21"/>
      <c r="CM226" s="21"/>
      <c r="CN226" s="21"/>
      <c r="CO226" s="21"/>
      <c r="CP226" s="21"/>
      <c r="CQ226" s="21"/>
      <c r="CR226" s="21"/>
      <c r="CS226" s="21"/>
      <c r="CT226" s="21"/>
      <c r="CU226" s="21"/>
      <c r="CV226" s="21"/>
      <c r="CW226" s="21"/>
      <c r="CX226" s="21"/>
      <c r="CY226" s="21"/>
      <c r="CZ226" s="21"/>
      <c r="DA226" s="21"/>
      <c r="DB226" s="21"/>
      <c r="DC226" s="21"/>
      <c r="DD226" s="21"/>
      <c r="DE226" s="21"/>
      <c r="DF226" s="21"/>
      <c r="DG226" s="21"/>
      <c r="DH226" s="21"/>
      <c r="DI226" s="21"/>
      <c r="DJ226" s="21"/>
      <c r="DK226" s="21"/>
      <c r="DL226" s="21"/>
      <c r="DM226" s="21"/>
      <c r="DN226" s="21"/>
      <c r="DO226" s="21"/>
      <c r="DP226" s="21"/>
      <c r="DQ226" s="21"/>
      <c r="DR226" s="21"/>
      <c r="DS226" s="21"/>
      <c r="DT226" s="21"/>
      <c r="DU226" s="21"/>
    </row>
    <row r="227" spans="1:125" x14ac:dyDescent="0.2">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21"/>
      <c r="AS227" s="21"/>
      <c r="AT227" s="21"/>
      <c r="AU227" s="21"/>
      <c r="AV227" s="21"/>
      <c r="AW227" s="21"/>
      <c r="AX227" s="21"/>
      <c r="AY227" s="21"/>
      <c r="AZ227" s="21"/>
      <c r="BA227" s="21"/>
      <c r="BB227" s="21"/>
      <c r="BC227" s="21"/>
      <c r="BD227" s="21"/>
      <c r="BE227" s="21"/>
      <c r="BF227" s="21"/>
      <c r="BG227" s="21"/>
      <c r="BH227" s="21"/>
      <c r="BI227" s="21"/>
      <c r="BJ227" s="21"/>
      <c r="BK227" s="21"/>
      <c r="BL227" s="21"/>
      <c r="BM227" s="21"/>
      <c r="BN227" s="21"/>
      <c r="BO227" s="21"/>
      <c r="BP227" s="21"/>
      <c r="BQ227" s="21"/>
      <c r="BR227" s="21"/>
      <c r="BS227" s="21"/>
      <c r="BT227" s="21"/>
      <c r="BU227" s="21"/>
      <c r="BV227" s="21"/>
      <c r="BW227" s="21"/>
      <c r="BX227" s="21"/>
      <c r="BY227" s="21"/>
      <c r="BZ227" s="21"/>
      <c r="CA227" s="21"/>
      <c r="CB227" s="21"/>
      <c r="CC227" s="21"/>
      <c r="CD227" s="21"/>
      <c r="CE227" s="21"/>
      <c r="CF227" s="21"/>
      <c r="CG227" s="21"/>
      <c r="CH227" s="21"/>
      <c r="CI227" s="21"/>
      <c r="CJ227" s="21"/>
      <c r="CK227" s="21"/>
      <c r="CL227" s="21"/>
      <c r="CM227" s="21"/>
      <c r="CN227" s="21"/>
      <c r="CO227" s="21"/>
      <c r="CP227" s="21"/>
      <c r="CQ227" s="21"/>
      <c r="CR227" s="21"/>
      <c r="CS227" s="21"/>
      <c r="CT227" s="21"/>
      <c r="CU227" s="21"/>
      <c r="CV227" s="21"/>
      <c r="CW227" s="21"/>
      <c r="CX227" s="21"/>
      <c r="CY227" s="21"/>
      <c r="CZ227" s="21"/>
      <c r="DA227" s="21"/>
      <c r="DB227" s="21"/>
      <c r="DC227" s="21"/>
      <c r="DD227" s="21"/>
      <c r="DE227" s="21"/>
      <c r="DF227" s="21"/>
      <c r="DG227" s="21"/>
      <c r="DH227" s="21"/>
      <c r="DI227" s="21"/>
      <c r="DJ227" s="21"/>
      <c r="DK227" s="21"/>
      <c r="DL227" s="21"/>
      <c r="DM227" s="21"/>
      <c r="DN227" s="21"/>
      <c r="DO227" s="21"/>
      <c r="DP227" s="21"/>
      <c r="DQ227" s="21"/>
      <c r="DR227" s="21"/>
      <c r="DS227" s="21"/>
      <c r="DT227" s="21"/>
      <c r="DU227" s="21"/>
    </row>
    <row r="228" spans="1:125" x14ac:dyDescent="0.2">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21"/>
      <c r="AS228" s="21"/>
      <c r="AT228" s="21"/>
      <c r="AU228" s="21"/>
      <c r="AV228" s="21"/>
      <c r="AW228" s="21"/>
      <c r="AX228" s="21"/>
      <c r="AY228" s="21"/>
      <c r="AZ228" s="21"/>
      <c r="BA228" s="21"/>
      <c r="BB228" s="21"/>
      <c r="BC228" s="21"/>
      <c r="BD228" s="21"/>
      <c r="BE228" s="21"/>
      <c r="BF228" s="21"/>
      <c r="BG228" s="21"/>
      <c r="BH228" s="21"/>
      <c r="BI228" s="21"/>
      <c r="BJ228" s="21"/>
      <c r="BK228" s="21"/>
      <c r="BL228" s="21"/>
      <c r="BM228" s="21"/>
      <c r="BN228" s="21"/>
      <c r="BO228" s="21"/>
      <c r="BP228" s="21"/>
      <c r="BQ228" s="21"/>
      <c r="BR228" s="21"/>
      <c r="BS228" s="21"/>
      <c r="BT228" s="21"/>
      <c r="BU228" s="21"/>
      <c r="BV228" s="21"/>
      <c r="BW228" s="21"/>
      <c r="BX228" s="21"/>
      <c r="BY228" s="21"/>
      <c r="BZ228" s="21"/>
      <c r="CA228" s="21"/>
      <c r="CB228" s="21"/>
      <c r="CC228" s="21"/>
      <c r="CD228" s="21"/>
      <c r="CE228" s="21"/>
      <c r="CF228" s="21"/>
      <c r="CG228" s="21"/>
      <c r="CH228" s="21"/>
      <c r="CI228" s="21"/>
      <c r="CJ228" s="21"/>
      <c r="CK228" s="21"/>
      <c r="CL228" s="21"/>
      <c r="CM228" s="21"/>
      <c r="CN228" s="21"/>
      <c r="CO228" s="21"/>
      <c r="CP228" s="21"/>
      <c r="CQ228" s="21"/>
      <c r="CR228" s="21"/>
      <c r="CS228" s="21"/>
      <c r="CT228" s="21"/>
      <c r="CU228" s="21"/>
      <c r="CV228" s="21"/>
      <c r="CW228" s="21"/>
      <c r="CX228" s="21"/>
      <c r="CY228" s="21"/>
      <c r="CZ228" s="21"/>
      <c r="DA228" s="21"/>
      <c r="DB228" s="21"/>
      <c r="DC228" s="21"/>
      <c r="DD228" s="21"/>
      <c r="DE228" s="21"/>
      <c r="DF228" s="21"/>
      <c r="DG228" s="21"/>
      <c r="DH228" s="21"/>
      <c r="DI228" s="21"/>
      <c r="DJ228" s="21"/>
      <c r="DK228" s="21"/>
      <c r="DL228" s="21"/>
      <c r="DM228" s="21"/>
      <c r="DN228" s="21"/>
      <c r="DO228" s="21"/>
      <c r="DP228" s="21"/>
      <c r="DQ228" s="21"/>
      <c r="DR228" s="21"/>
      <c r="DS228" s="21"/>
      <c r="DT228" s="21"/>
      <c r="DU228" s="21"/>
    </row>
    <row r="229" spans="1:125" x14ac:dyDescent="0.2">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21"/>
      <c r="AS229" s="21"/>
      <c r="AT229" s="21"/>
      <c r="AU229" s="21"/>
      <c r="AV229" s="21"/>
      <c r="AW229" s="21"/>
      <c r="AX229" s="21"/>
      <c r="AY229" s="21"/>
      <c r="AZ229" s="21"/>
      <c r="BA229" s="21"/>
      <c r="BB229" s="21"/>
      <c r="BC229" s="21"/>
      <c r="BD229" s="21"/>
      <c r="BE229" s="21"/>
      <c r="BF229" s="21"/>
      <c r="BG229" s="21"/>
      <c r="BH229" s="21"/>
      <c r="BI229" s="21"/>
      <c r="BJ229" s="21"/>
      <c r="BK229" s="21"/>
      <c r="BL229" s="21"/>
      <c r="BM229" s="21"/>
      <c r="BN229" s="21"/>
      <c r="BO229" s="21"/>
      <c r="BP229" s="21"/>
      <c r="BQ229" s="21"/>
      <c r="BR229" s="21"/>
      <c r="BS229" s="21"/>
      <c r="BT229" s="21"/>
      <c r="BU229" s="21"/>
      <c r="BV229" s="21"/>
      <c r="BW229" s="21"/>
      <c r="BX229" s="21"/>
      <c r="BY229" s="21"/>
      <c r="BZ229" s="21"/>
      <c r="CA229" s="21"/>
      <c r="CB229" s="21"/>
      <c r="CC229" s="21"/>
      <c r="CD229" s="21"/>
      <c r="CE229" s="21"/>
      <c r="CF229" s="21"/>
      <c r="CG229" s="21"/>
      <c r="CH229" s="21"/>
      <c r="CI229" s="21"/>
      <c r="CJ229" s="21"/>
      <c r="CK229" s="21"/>
      <c r="CL229" s="21"/>
      <c r="CM229" s="21"/>
      <c r="CN229" s="21"/>
      <c r="CO229" s="21"/>
      <c r="CP229" s="21"/>
      <c r="CQ229" s="21"/>
      <c r="CR229" s="21"/>
      <c r="CS229" s="21"/>
      <c r="CT229" s="21"/>
      <c r="CU229" s="21"/>
      <c r="CV229" s="21"/>
      <c r="CW229" s="21"/>
      <c r="CX229" s="21"/>
      <c r="CY229" s="21"/>
      <c r="CZ229" s="21"/>
      <c r="DA229" s="21"/>
      <c r="DB229" s="21"/>
      <c r="DC229" s="21"/>
      <c r="DD229" s="21"/>
      <c r="DE229" s="21"/>
      <c r="DF229" s="21"/>
      <c r="DG229" s="21"/>
      <c r="DH229" s="21"/>
      <c r="DI229" s="21"/>
      <c r="DJ229" s="21"/>
      <c r="DK229" s="21"/>
      <c r="DL229" s="21"/>
      <c r="DM229" s="21"/>
      <c r="DN229" s="21"/>
      <c r="DO229" s="21"/>
      <c r="DP229" s="21"/>
      <c r="DQ229" s="21"/>
      <c r="DR229" s="21"/>
      <c r="DS229" s="21"/>
      <c r="DT229" s="21"/>
      <c r="DU229" s="21"/>
    </row>
    <row r="230" spans="1:125" x14ac:dyDescent="0.2">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21"/>
      <c r="AS230" s="21"/>
      <c r="AT230" s="21"/>
      <c r="AU230" s="21"/>
      <c r="AV230" s="21"/>
      <c r="AW230" s="21"/>
      <c r="AX230" s="21"/>
      <c r="AY230" s="21"/>
      <c r="AZ230" s="21"/>
      <c r="BA230" s="21"/>
      <c r="BB230" s="21"/>
      <c r="BC230" s="21"/>
      <c r="BD230" s="21"/>
      <c r="BE230" s="21"/>
      <c r="BF230" s="21"/>
      <c r="BG230" s="21"/>
      <c r="BH230" s="21"/>
      <c r="BI230" s="21"/>
      <c r="BJ230" s="21"/>
      <c r="BK230" s="21"/>
      <c r="BL230" s="21"/>
      <c r="BM230" s="21"/>
      <c r="BN230" s="21"/>
      <c r="BO230" s="21"/>
      <c r="BP230" s="21"/>
      <c r="BQ230" s="21"/>
      <c r="BR230" s="21"/>
      <c r="BS230" s="21"/>
      <c r="BT230" s="21"/>
      <c r="BU230" s="21"/>
      <c r="BV230" s="21"/>
      <c r="BW230" s="21"/>
      <c r="BX230" s="21"/>
      <c r="BY230" s="21"/>
      <c r="BZ230" s="21"/>
      <c r="CA230" s="21"/>
      <c r="CB230" s="21"/>
      <c r="CC230" s="21"/>
      <c r="CD230" s="21"/>
      <c r="CE230" s="21"/>
      <c r="CF230" s="21"/>
      <c r="CG230" s="21"/>
      <c r="CH230" s="21"/>
      <c r="CI230" s="21"/>
      <c r="CJ230" s="21"/>
      <c r="CK230" s="21"/>
      <c r="CL230" s="21"/>
      <c r="CM230" s="21"/>
      <c r="CN230" s="21"/>
      <c r="CO230" s="21"/>
      <c r="CP230" s="21"/>
      <c r="CQ230" s="21"/>
      <c r="CR230" s="21"/>
      <c r="CS230" s="21"/>
      <c r="CT230" s="21"/>
      <c r="CU230" s="21"/>
      <c r="CV230" s="21"/>
      <c r="CW230" s="21"/>
      <c r="CX230" s="21"/>
      <c r="CY230" s="21"/>
      <c r="CZ230" s="21"/>
      <c r="DA230" s="21"/>
      <c r="DB230" s="21"/>
      <c r="DC230" s="21"/>
      <c r="DD230" s="21"/>
      <c r="DE230" s="21"/>
      <c r="DF230" s="21"/>
      <c r="DG230" s="21"/>
      <c r="DH230" s="21"/>
      <c r="DI230" s="21"/>
      <c r="DJ230" s="21"/>
      <c r="DK230" s="21"/>
      <c r="DL230" s="21"/>
      <c r="DM230" s="21"/>
      <c r="DN230" s="21"/>
      <c r="DO230" s="21"/>
      <c r="DP230" s="21"/>
      <c r="DQ230" s="21"/>
      <c r="DR230" s="21"/>
      <c r="DS230" s="21"/>
      <c r="DT230" s="21"/>
      <c r="DU230" s="21"/>
    </row>
    <row r="231" spans="1:125" x14ac:dyDescent="0.2">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21"/>
      <c r="AS231" s="21"/>
      <c r="AT231" s="21"/>
      <c r="AU231" s="21"/>
      <c r="AV231" s="21"/>
      <c r="AW231" s="21"/>
      <c r="AX231" s="21"/>
      <c r="AY231" s="21"/>
      <c r="AZ231" s="21"/>
      <c r="BA231" s="21"/>
      <c r="BB231" s="21"/>
      <c r="BC231" s="21"/>
      <c r="BD231" s="21"/>
      <c r="BE231" s="21"/>
      <c r="BF231" s="21"/>
      <c r="BG231" s="21"/>
      <c r="BH231" s="21"/>
      <c r="BI231" s="21"/>
      <c r="BJ231" s="21"/>
      <c r="BK231" s="21"/>
      <c r="BL231" s="21"/>
      <c r="BM231" s="21"/>
      <c r="BN231" s="21"/>
      <c r="BO231" s="21"/>
      <c r="BP231" s="21"/>
      <c r="BQ231" s="21"/>
      <c r="BR231" s="21"/>
      <c r="BS231" s="21"/>
      <c r="BT231" s="21"/>
      <c r="BU231" s="21"/>
      <c r="BV231" s="21"/>
      <c r="BW231" s="21"/>
      <c r="BX231" s="21"/>
      <c r="BY231" s="21"/>
      <c r="BZ231" s="21"/>
      <c r="CA231" s="21"/>
      <c r="CB231" s="21"/>
      <c r="CC231" s="21"/>
      <c r="CD231" s="21"/>
      <c r="CE231" s="21"/>
      <c r="CF231" s="21"/>
      <c r="CG231" s="21"/>
      <c r="CH231" s="21"/>
      <c r="CI231" s="21"/>
      <c r="CJ231" s="21"/>
      <c r="CK231" s="21"/>
      <c r="CL231" s="21"/>
      <c r="CM231" s="21"/>
      <c r="CN231" s="21"/>
      <c r="CO231" s="21"/>
      <c r="CP231" s="21"/>
      <c r="CQ231" s="21"/>
      <c r="CR231" s="21"/>
      <c r="CS231" s="21"/>
      <c r="CT231" s="21"/>
      <c r="CU231" s="21"/>
      <c r="CV231" s="21"/>
      <c r="CW231" s="21"/>
      <c r="CX231" s="21"/>
      <c r="CY231" s="21"/>
      <c r="CZ231" s="21"/>
      <c r="DA231" s="21"/>
      <c r="DB231" s="21"/>
      <c r="DC231" s="21"/>
      <c r="DD231" s="21"/>
      <c r="DE231" s="21"/>
      <c r="DF231" s="21"/>
      <c r="DG231" s="21"/>
      <c r="DH231" s="21"/>
      <c r="DI231" s="21"/>
      <c r="DJ231" s="21"/>
      <c r="DK231" s="21"/>
      <c r="DL231" s="21"/>
      <c r="DM231" s="21"/>
      <c r="DN231" s="21"/>
      <c r="DO231" s="21"/>
      <c r="DP231" s="21"/>
      <c r="DQ231" s="21"/>
      <c r="DR231" s="21"/>
      <c r="DS231" s="21"/>
      <c r="DT231" s="21"/>
      <c r="DU231" s="21"/>
    </row>
    <row r="232" spans="1:125" x14ac:dyDescent="0.2">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21"/>
      <c r="AS232" s="21"/>
      <c r="AT232" s="21"/>
      <c r="AU232" s="21"/>
      <c r="AV232" s="21"/>
      <c r="AW232" s="21"/>
      <c r="AX232" s="21"/>
      <c r="AY232" s="21"/>
      <c r="AZ232" s="21"/>
      <c r="BA232" s="21"/>
      <c r="BB232" s="21"/>
      <c r="BC232" s="21"/>
      <c r="BD232" s="21"/>
      <c r="BE232" s="21"/>
      <c r="BF232" s="21"/>
      <c r="BG232" s="21"/>
      <c r="BH232" s="21"/>
      <c r="BI232" s="21"/>
      <c r="BJ232" s="21"/>
      <c r="BK232" s="21"/>
      <c r="BL232" s="21"/>
      <c r="BM232" s="21"/>
      <c r="BN232" s="21"/>
      <c r="BO232" s="21"/>
      <c r="BP232" s="21"/>
      <c r="BQ232" s="21"/>
      <c r="BR232" s="21"/>
      <c r="BS232" s="21"/>
      <c r="BT232" s="21"/>
      <c r="BU232" s="21"/>
      <c r="BV232" s="21"/>
      <c r="BW232" s="21"/>
      <c r="BX232" s="21"/>
      <c r="BY232" s="21"/>
      <c r="BZ232" s="21"/>
      <c r="CA232" s="21"/>
      <c r="CB232" s="21"/>
      <c r="CC232" s="21"/>
      <c r="CD232" s="21"/>
      <c r="CE232" s="21"/>
      <c r="CF232" s="21"/>
      <c r="CG232" s="21"/>
      <c r="CH232" s="21"/>
      <c r="CI232" s="21"/>
      <c r="CJ232" s="21"/>
      <c r="CK232" s="21"/>
      <c r="CL232" s="21"/>
      <c r="CM232" s="21"/>
      <c r="CN232" s="21"/>
      <c r="CO232" s="21"/>
      <c r="CP232" s="21"/>
      <c r="CQ232" s="21"/>
      <c r="CR232" s="21"/>
      <c r="CS232" s="21"/>
      <c r="CT232" s="21"/>
      <c r="CU232" s="21"/>
      <c r="CV232" s="21"/>
      <c r="CW232" s="21"/>
      <c r="CX232" s="21"/>
      <c r="CY232" s="21"/>
      <c r="CZ232" s="21"/>
      <c r="DA232" s="21"/>
      <c r="DB232" s="21"/>
      <c r="DC232" s="21"/>
      <c r="DD232" s="21"/>
      <c r="DE232" s="21"/>
      <c r="DF232" s="21"/>
      <c r="DG232" s="21"/>
      <c r="DH232" s="21"/>
      <c r="DI232" s="21"/>
      <c r="DJ232" s="21"/>
      <c r="DK232" s="21"/>
      <c r="DL232" s="21"/>
      <c r="DM232" s="21"/>
      <c r="DN232" s="21"/>
      <c r="DO232" s="21"/>
      <c r="DP232" s="21"/>
      <c r="DQ232" s="21"/>
      <c r="DR232" s="21"/>
      <c r="DS232" s="21"/>
      <c r="DT232" s="21"/>
      <c r="DU232" s="21"/>
    </row>
    <row r="233" spans="1:125" x14ac:dyDescent="0.2">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21"/>
      <c r="AS233" s="21"/>
      <c r="AT233" s="21"/>
      <c r="AU233" s="21"/>
      <c r="AV233" s="21"/>
      <c r="AW233" s="21"/>
      <c r="AX233" s="21"/>
      <c r="AY233" s="21"/>
      <c r="AZ233" s="21"/>
      <c r="BA233" s="21"/>
      <c r="BB233" s="21"/>
      <c r="BC233" s="21"/>
      <c r="BD233" s="21"/>
      <c r="BE233" s="21"/>
      <c r="BF233" s="21"/>
      <c r="BG233" s="21"/>
      <c r="BH233" s="21"/>
      <c r="BI233" s="21"/>
      <c r="BJ233" s="21"/>
      <c r="BK233" s="21"/>
      <c r="BL233" s="21"/>
      <c r="BM233" s="21"/>
      <c r="BN233" s="21"/>
      <c r="BO233" s="21"/>
      <c r="BP233" s="21"/>
      <c r="BQ233" s="21"/>
      <c r="BR233" s="21"/>
      <c r="BS233" s="21"/>
      <c r="BT233" s="21"/>
      <c r="BU233" s="21"/>
      <c r="BV233" s="21"/>
      <c r="BW233" s="21"/>
      <c r="BX233" s="21"/>
      <c r="BY233" s="21"/>
      <c r="BZ233" s="21"/>
      <c r="CA233" s="21"/>
      <c r="CB233" s="21"/>
      <c r="CC233" s="21"/>
      <c r="CD233" s="21"/>
      <c r="CE233" s="21"/>
      <c r="CF233" s="21"/>
      <c r="CG233" s="21"/>
      <c r="CH233" s="21"/>
      <c r="CI233" s="21"/>
      <c r="CJ233" s="21"/>
      <c r="CK233" s="21"/>
      <c r="CL233" s="21"/>
      <c r="CM233" s="21"/>
      <c r="CN233" s="21"/>
      <c r="CO233" s="21"/>
      <c r="CP233" s="21"/>
      <c r="CQ233" s="21"/>
      <c r="CR233" s="21"/>
      <c r="CS233" s="21"/>
      <c r="CT233" s="21"/>
      <c r="CU233" s="21"/>
      <c r="CV233" s="21"/>
      <c r="CW233" s="21"/>
      <c r="CX233" s="21"/>
      <c r="CY233" s="21"/>
      <c r="CZ233" s="21"/>
      <c r="DA233" s="21"/>
      <c r="DB233" s="21"/>
      <c r="DC233" s="21"/>
      <c r="DD233" s="21"/>
      <c r="DE233" s="21"/>
      <c r="DF233" s="21"/>
      <c r="DG233" s="21"/>
      <c r="DH233" s="21"/>
      <c r="DI233" s="21"/>
      <c r="DJ233" s="21"/>
      <c r="DK233" s="21"/>
      <c r="DL233" s="21"/>
      <c r="DM233" s="21"/>
      <c r="DN233" s="21"/>
      <c r="DO233" s="21"/>
      <c r="DP233" s="21"/>
      <c r="DQ233" s="21"/>
      <c r="DR233" s="21"/>
      <c r="DS233" s="21"/>
      <c r="DT233" s="21"/>
      <c r="DU233" s="21"/>
    </row>
    <row r="234" spans="1:125" x14ac:dyDescent="0.2">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21"/>
      <c r="AS234" s="21"/>
      <c r="AT234" s="21"/>
      <c r="AU234" s="21"/>
      <c r="AV234" s="21"/>
      <c r="AW234" s="21"/>
      <c r="AX234" s="21"/>
      <c r="AY234" s="21"/>
      <c r="AZ234" s="21"/>
      <c r="BA234" s="21"/>
      <c r="BB234" s="21"/>
      <c r="BC234" s="21"/>
      <c r="BD234" s="21"/>
      <c r="BE234" s="21"/>
      <c r="BF234" s="21"/>
      <c r="BG234" s="21"/>
      <c r="BH234" s="21"/>
      <c r="BI234" s="21"/>
      <c r="BJ234" s="21"/>
      <c r="BK234" s="21"/>
      <c r="BL234" s="21"/>
      <c r="BM234" s="21"/>
      <c r="BN234" s="21"/>
      <c r="BO234" s="21"/>
      <c r="BP234" s="21"/>
      <c r="BQ234" s="21"/>
      <c r="BR234" s="21"/>
      <c r="BS234" s="21"/>
      <c r="BT234" s="21"/>
      <c r="BU234" s="21"/>
      <c r="BV234" s="21"/>
      <c r="BW234" s="21"/>
      <c r="BX234" s="21"/>
      <c r="BY234" s="21"/>
      <c r="BZ234" s="21"/>
      <c r="CA234" s="21"/>
      <c r="CB234" s="21"/>
      <c r="CC234" s="21"/>
      <c r="CD234" s="21"/>
      <c r="CE234" s="21"/>
      <c r="CF234" s="21"/>
      <c r="CG234" s="21"/>
      <c r="CH234" s="21"/>
      <c r="CI234" s="21"/>
      <c r="CJ234" s="21"/>
      <c r="CK234" s="21"/>
      <c r="CL234" s="21"/>
      <c r="CM234" s="21"/>
      <c r="CN234" s="21"/>
      <c r="CO234" s="21"/>
      <c r="CP234" s="21"/>
      <c r="CQ234" s="21"/>
      <c r="CR234" s="21"/>
      <c r="CS234" s="21"/>
      <c r="CT234" s="21"/>
      <c r="CU234" s="21"/>
      <c r="CV234" s="21"/>
      <c r="CW234" s="21"/>
      <c r="CX234" s="21"/>
      <c r="CY234" s="21"/>
      <c r="CZ234" s="21"/>
      <c r="DA234" s="21"/>
      <c r="DB234" s="21"/>
      <c r="DC234" s="21"/>
      <c r="DD234" s="21"/>
      <c r="DE234" s="21"/>
      <c r="DF234" s="21"/>
      <c r="DG234" s="21"/>
      <c r="DH234" s="21"/>
      <c r="DI234" s="21"/>
      <c r="DJ234" s="21"/>
      <c r="DK234" s="21"/>
      <c r="DL234" s="21"/>
      <c r="DM234" s="21"/>
      <c r="DN234" s="21"/>
      <c r="DO234" s="21"/>
      <c r="DP234" s="21"/>
      <c r="DQ234" s="21"/>
      <c r="DR234" s="21"/>
      <c r="DS234" s="21"/>
      <c r="DT234" s="21"/>
      <c r="DU234" s="21"/>
    </row>
    <row r="235" spans="1:125" x14ac:dyDescent="0.2">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21"/>
      <c r="AS235" s="21"/>
      <c r="AT235" s="21"/>
      <c r="AU235" s="21"/>
      <c r="AV235" s="21"/>
      <c r="AW235" s="21"/>
      <c r="AX235" s="21"/>
      <c r="AY235" s="21"/>
      <c r="AZ235" s="21"/>
      <c r="BA235" s="21"/>
      <c r="BB235" s="21"/>
      <c r="BC235" s="21"/>
      <c r="BD235" s="21"/>
      <c r="BE235" s="21"/>
      <c r="BF235" s="21"/>
      <c r="BG235" s="21"/>
      <c r="BH235" s="21"/>
      <c r="BI235" s="21"/>
      <c r="BJ235" s="21"/>
      <c r="BK235" s="21"/>
      <c r="BL235" s="21"/>
      <c r="BM235" s="21"/>
      <c r="BN235" s="21"/>
      <c r="BO235" s="21"/>
      <c r="BP235" s="21"/>
      <c r="BQ235" s="21"/>
      <c r="BR235" s="21"/>
      <c r="BS235" s="21"/>
      <c r="BT235" s="21"/>
      <c r="BU235" s="21"/>
      <c r="BV235" s="21"/>
      <c r="BW235" s="21"/>
      <c r="BX235" s="21"/>
      <c r="BY235" s="21"/>
      <c r="BZ235" s="21"/>
      <c r="CA235" s="21"/>
      <c r="CB235" s="21"/>
      <c r="CC235" s="21"/>
      <c r="CD235" s="21"/>
      <c r="CE235" s="21"/>
      <c r="CF235" s="21"/>
      <c r="CG235" s="21"/>
      <c r="CH235" s="21"/>
      <c r="CI235" s="21"/>
      <c r="CJ235" s="21"/>
      <c r="CK235" s="21"/>
      <c r="CL235" s="21"/>
      <c r="CM235" s="21"/>
      <c r="CN235" s="21"/>
      <c r="CO235" s="21"/>
      <c r="CP235" s="21"/>
      <c r="CQ235" s="21"/>
      <c r="CR235" s="21"/>
      <c r="CS235" s="21"/>
      <c r="CT235" s="21"/>
      <c r="CU235" s="21"/>
      <c r="CV235" s="21"/>
      <c r="CW235" s="21"/>
      <c r="CX235" s="21"/>
      <c r="CY235" s="21"/>
      <c r="CZ235" s="21"/>
      <c r="DA235" s="21"/>
      <c r="DB235" s="21"/>
      <c r="DC235" s="21"/>
      <c r="DD235" s="21"/>
      <c r="DE235" s="21"/>
      <c r="DF235" s="21"/>
      <c r="DG235" s="21"/>
      <c r="DH235" s="21"/>
      <c r="DI235" s="21"/>
      <c r="DJ235" s="21"/>
      <c r="DK235" s="21"/>
      <c r="DL235" s="21"/>
      <c r="DM235" s="21"/>
      <c r="DN235" s="21"/>
      <c r="DO235" s="21"/>
      <c r="DP235" s="21"/>
      <c r="DQ235" s="21"/>
      <c r="DR235" s="21"/>
      <c r="DS235" s="21"/>
      <c r="DT235" s="21"/>
      <c r="DU235" s="21"/>
    </row>
    <row r="236" spans="1:125" x14ac:dyDescent="0.2">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21"/>
      <c r="AS236" s="21"/>
      <c r="AT236" s="21"/>
      <c r="AU236" s="21"/>
      <c r="AV236" s="21"/>
      <c r="AW236" s="21"/>
      <c r="AX236" s="21"/>
      <c r="AY236" s="21"/>
      <c r="AZ236" s="21"/>
      <c r="BA236" s="21"/>
      <c r="BB236" s="21"/>
      <c r="BC236" s="21"/>
      <c r="BD236" s="21"/>
      <c r="BE236" s="21"/>
      <c r="BF236" s="21"/>
      <c r="BG236" s="21"/>
      <c r="BH236" s="21"/>
      <c r="BI236" s="21"/>
      <c r="BJ236" s="21"/>
      <c r="BK236" s="21"/>
      <c r="BL236" s="21"/>
      <c r="BM236" s="21"/>
      <c r="BN236" s="21"/>
      <c r="BO236" s="21"/>
      <c r="BP236" s="21"/>
      <c r="BQ236" s="21"/>
      <c r="BR236" s="21"/>
      <c r="BS236" s="21"/>
      <c r="BT236" s="21"/>
      <c r="BU236" s="21"/>
      <c r="BV236" s="21"/>
      <c r="BW236" s="21"/>
      <c r="BX236" s="21"/>
      <c r="BY236" s="21"/>
      <c r="BZ236" s="21"/>
      <c r="CA236" s="21"/>
      <c r="CB236" s="21"/>
      <c r="CC236" s="21"/>
      <c r="CD236" s="21"/>
      <c r="CE236" s="21"/>
      <c r="CF236" s="21"/>
      <c r="CG236" s="21"/>
      <c r="CH236" s="21"/>
      <c r="CI236" s="21"/>
      <c r="CJ236" s="21"/>
      <c r="CK236" s="21"/>
      <c r="CL236" s="21"/>
      <c r="CM236" s="21"/>
      <c r="CN236" s="21"/>
      <c r="CO236" s="21"/>
      <c r="CP236" s="21"/>
      <c r="CQ236" s="21"/>
      <c r="CR236" s="21"/>
      <c r="CS236" s="21"/>
      <c r="CT236" s="21"/>
      <c r="CU236" s="21"/>
      <c r="CV236" s="21"/>
      <c r="CW236" s="21"/>
      <c r="CX236" s="21"/>
      <c r="CY236" s="21"/>
      <c r="CZ236" s="21"/>
      <c r="DA236" s="21"/>
      <c r="DB236" s="21"/>
      <c r="DC236" s="21"/>
      <c r="DD236" s="21"/>
      <c r="DE236" s="21"/>
      <c r="DF236" s="21"/>
      <c r="DG236" s="21"/>
      <c r="DH236" s="21"/>
      <c r="DI236" s="21"/>
      <c r="DJ236" s="21"/>
      <c r="DK236" s="21"/>
      <c r="DL236" s="21"/>
      <c r="DM236" s="21"/>
      <c r="DN236" s="21"/>
      <c r="DO236" s="21"/>
      <c r="DP236" s="21"/>
      <c r="DQ236" s="21"/>
      <c r="DR236" s="21"/>
      <c r="DS236" s="21"/>
      <c r="DT236" s="21"/>
      <c r="DU236" s="21"/>
    </row>
    <row r="237" spans="1:125" x14ac:dyDescent="0.2">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21"/>
      <c r="AS237" s="21"/>
      <c r="AT237" s="21"/>
      <c r="AU237" s="21"/>
      <c r="AV237" s="21"/>
      <c r="AW237" s="21"/>
      <c r="AX237" s="21"/>
      <c r="AY237" s="21"/>
      <c r="AZ237" s="21"/>
      <c r="BA237" s="21"/>
      <c r="BB237" s="21"/>
      <c r="BC237" s="21"/>
      <c r="BD237" s="21"/>
      <c r="BE237" s="21"/>
      <c r="BF237" s="21"/>
      <c r="BG237" s="21"/>
      <c r="BH237" s="21"/>
      <c r="BI237" s="21"/>
      <c r="BJ237" s="21"/>
      <c r="BK237" s="21"/>
      <c r="BL237" s="21"/>
      <c r="BM237" s="21"/>
      <c r="BN237" s="21"/>
      <c r="BO237" s="21"/>
      <c r="BP237" s="21"/>
      <c r="BQ237" s="21"/>
      <c r="BR237" s="21"/>
      <c r="BS237" s="21"/>
      <c r="BT237" s="21"/>
      <c r="BU237" s="21"/>
      <c r="BV237" s="21"/>
      <c r="BW237" s="21"/>
      <c r="BX237" s="21"/>
      <c r="BY237" s="21"/>
      <c r="BZ237" s="21"/>
      <c r="CA237" s="21"/>
      <c r="CB237" s="21"/>
      <c r="CC237" s="21"/>
      <c r="CD237" s="21"/>
      <c r="CE237" s="21"/>
      <c r="CF237" s="21"/>
      <c r="CG237" s="21"/>
      <c r="CH237" s="21"/>
      <c r="CI237" s="21"/>
      <c r="CJ237" s="21"/>
      <c r="CK237" s="21"/>
      <c r="CL237" s="21"/>
      <c r="CM237" s="21"/>
      <c r="CN237" s="21"/>
      <c r="CO237" s="21"/>
      <c r="CP237" s="21"/>
      <c r="CQ237" s="21"/>
      <c r="CR237" s="21"/>
      <c r="CS237" s="21"/>
      <c r="CT237" s="21"/>
      <c r="CU237" s="21"/>
      <c r="CV237" s="21"/>
      <c r="CW237" s="21"/>
      <c r="CX237" s="21"/>
      <c r="CY237" s="21"/>
      <c r="CZ237" s="21"/>
      <c r="DA237" s="21"/>
      <c r="DB237" s="21"/>
      <c r="DC237" s="21"/>
      <c r="DD237" s="21"/>
      <c r="DE237" s="21"/>
      <c r="DF237" s="21"/>
      <c r="DG237" s="21"/>
      <c r="DH237" s="21"/>
      <c r="DI237" s="21"/>
      <c r="DJ237" s="21"/>
      <c r="DK237" s="21"/>
      <c r="DL237" s="21"/>
      <c r="DM237" s="21"/>
      <c r="DN237" s="21"/>
      <c r="DO237" s="21"/>
      <c r="DP237" s="21"/>
      <c r="DQ237" s="21"/>
      <c r="DR237" s="21"/>
      <c r="DS237" s="21"/>
      <c r="DT237" s="21"/>
      <c r="DU237" s="21"/>
    </row>
    <row r="238" spans="1:125" x14ac:dyDescent="0.2">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21"/>
      <c r="AS238" s="21"/>
      <c r="AT238" s="21"/>
      <c r="AU238" s="21"/>
      <c r="AV238" s="21"/>
      <c r="AW238" s="21"/>
      <c r="AX238" s="21"/>
      <c r="AY238" s="21"/>
      <c r="AZ238" s="21"/>
      <c r="BA238" s="21"/>
      <c r="BB238" s="21"/>
      <c r="BC238" s="21"/>
      <c r="BD238" s="21"/>
      <c r="BE238" s="21"/>
      <c r="BF238" s="21"/>
      <c r="BG238" s="21"/>
      <c r="BH238" s="21"/>
      <c r="BI238" s="21"/>
      <c r="BJ238" s="21"/>
      <c r="BK238" s="21"/>
      <c r="BL238" s="21"/>
      <c r="BM238" s="21"/>
      <c r="BN238" s="21"/>
      <c r="BO238" s="21"/>
      <c r="BP238" s="21"/>
      <c r="BQ238" s="21"/>
      <c r="BR238" s="21"/>
      <c r="BS238" s="21"/>
      <c r="BT238" s="21"/>
      <c r="BU238" s="21"/>
      <c r="BV238" s="21"/>
      <c r="BW238" s="21"/>
      <c r="BX238" s="21"/>
      <c r="BY238" s="21"/>
      <c r="BZ238" s="21"/>
      <c r="CA238" s="21"/>
      <c r="CB238" s="21"/>
      <c r="CC238" s="21"/>
      <c r="CD238" s="21"/>
      <c r="CE238" s="21"/>
      <c r="CF238" s="21"/>
      <c r="CG238" s="21"/>
      <c r="CH238" s="21"/>
      <c r="CI238" s="21"/>
      <c r="CJ238" s="21"/>
      <c r="CK238" s="21"/>
      <c r="CL238" s="21"/>
      <c r="CM238" s="21"/>
      <c r="CN238" s="21"/>
      <c r="CO238" s="21"/>
      <c r="CP238" s="21"/>
      <c r="CQ238" s="21"/>
      <c r="CR238" s="21"/>
      <c r="CS238" s="21"/>
      <c r="CT238" s="21"/>
      <c r="CU238" s="21"/>
      <c r="CV238" s="21"/>
      <c r="CW238" s="21"/>
      <c r="CX238" s="21"/>
      <c r="CY238" s="21"/>
      <c r="CZ238" s="21"/>
      <c r="DA238" s="21"/>
      <c r="DB238" s="21"/>
      <c r="DC238" s="21"/>
      <c r="DD238" s="21"/>
      <c r="DE238" s="21"/>
      <c r="DF238" s="21"/>
      <c r="DG238" s="21"/>
      <c r="DH238" s="21"/>
      <c r="DI238" s="21"/>
      <c r="DJ238" s="21"/>
      <c r="DK238" s="21"/>
      <c r="DL238" s="21"/>
      <c r="DM238" s="21"/>
      <c r="DN238" s="21"/>
      <c r="DO238" s="21"/>
      <c r="DP238" s="21"/>
      <c r="DQ238" s="21"/>
      <c r="DR238" s="21"/>
      <c r="DS238" s="21"/>
      <c r="DT238" s="21"/>
      <c r="DU238" s="21"/>
    </row>
    <row r="239" spans="1:125" x14ac:dyDescent="0.2">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21"/>
      <c r="AS239" s="21"/>
      <c r="AT239" s="21"/>
      <c r="AU239" s="21"/>
      <c r="AV239" s="21"/>
      <c r="AW239" s="21"/>
      <c r="AX239" s="21"/>
      <c r="AY239" s="21"/>
      <c r="AZ239" s="21"/>
      <c r="BA239" s="21"/>
      <c r="BB239" s="21"/>
      <c r="BC239" s="21"/>
      <c r="BD239" s="21"/>
      <c r="BE239" s="21"/>
      <c r="BF239" s="21"/>
      <c r="BG239" s="21"/>
      <c r="BH239" s="21"/>
      <c r="BI239" s="21"/>
      <c r="BJ239" s="21"/>
      <c r="BK239" s="21"/>
      <c r="BL239" s="21"/>
      <c r="BM239" s="21"/>
      <c r="BN239" s="21"/>
      <c r="BO239" s="21"/>
      <c r="BP239" s="21"/>
      <c r="BQ239" s="21"/>
      <c r="BR239" s="21"/>
      <c r="BS239" s="21"/>
      <c r="BT239" s="21"/>
      <c r="BU239" s="21"/>
      <c r="BV239" s="21"/>
      <c r="BW239" s="21"/>
      <c r="BX239" s="21"/>
      <c r="BY239" s="21"/>
      <c r="BZ239" s="21"/>
      <c r="CA239" s="21"/>
      <c r="CB239" s="21"/>
      <c r="CC239" s="21"/>
      <c r="CD239" s="21"/>
      <c r="CE239" s="21"/>
      <c r="CF239" s="21"/>
      <c r="CG239" s="21"/>
      <c r="CH239" s="21"/>
      <c r="CI239" s="21"/>
      <c r="CJ239" s="21"/>
      <c r="CK239" s="21"/>
      <c r="CL239" s="21"/>
      <c r="CM239" s="21"/>
      <c r="CN239" s="21"/>
      <c r="CO239" s="21"/>
      <c r="CP239" s="21"/>
      <c r="CQ239" s="21"/>
      <c r="CR239" s="21"/>
      <c r="CS239" s="21"/>
      <c r="CT239" s="21"/>
      <c r="CU239" s="21"/>
      <c r="CV239" s="21"/>
      <c r="CW239" s="21"/>
      <c r="CX239" s="21"/>
      <c r="CY239" s="21"/>
      <c r="CZ239" s="21"/>
      <c r="DA239" s="21"/>
      <c r="DB239" s="21"/>
      <c r="DC239" s="21"/>
      <c r="DD239" s="21"/>
      <c r="DE239" s="21"/>
      <c r="DF239" s="21"/>
      <c r="DG239" s="21"/>
      <c r="DH239" s="21"/>
      <c r="DI239" s="21"/>
      <c r="DJ239" s="21"/>
      <c r="DK239" s="21"/>
      <c r="DL239" s="21"/>
      <c r="DM239" s="21"/>
      <c r="DN239" s="21"/>
      <c r="DO239" s="21"/>
      <c r="DP239" s="21"/>
      <c r="DQ239" s="21"/>
      <c r="DR239" s="21"/>
      <c r="DS239" s="21"/>
      <c r="DT239" s="21"/>
      <c r="DU239" s="21"/>
    </row>
    <row r="240" spans="1:125" x14ac:dyDescent="0.2">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21"/>
      <c r="AS240" s="21"/>
      <c r="AT240" s="21"/>
      <c r="AU240" s="21"/>
      <c r="AV240" s="21"/>
      <c r="AW240" s="21"/>
      <c r="AX240" s="21"/>
      <c r="AY240" s="21"/>
      <c r="AZ240" s="21"/>
      <c r="BA240" s="21"/>
      <c r="BB240" s="21"/>
      <c r="BC240" s="21"/>
      <c r="BD240" s="21"/>
      <c r="BE240" s="21"/>
      <c r="BF240" s="21"/>
      <c r="BG240" s="21"/>
      <c r="BH240" s="21"/>
      <c r="BI240" s="21"/>
      <c r="BJ240" s="21"/>
      <c r="BK240" s="21"/>
      <c r="BL240" s="21"/>
      <c r="BM240" s="21"/>
      <c r="BN240" s="21"/>
      <c r="BO240" s="21"/>
      <c r="BP240" s="21"/>
      <c r="BQ240" s="21"/>
      <c r="BR240" s="21"/>
      <c r="BS240" s="21"/>
      <c r="BT240" s="21"/>
      <c r="BU240" s="21"/>
      <c r="BV240" s="21"/>
      <c r="BW240" s="21"/>
      <c r="BX240" s="21"/>
      <c r="BY240" s="21"/>
      <c r="BZ240" s="21"/>
      <c r="CA240" s="21"/>
      <c r="CB240" s="21"/>
      <c r="CC240" s="21"/>
      <c r="CD240" s="21"/>
      <c r="CE240" s="21"/>
      <c r="CF240" s="21"/>
      <c r="CG240" s="21"/>
      <c r="CH240" s="21"/>
      <c r="CI240" s="21"/>
      <c r="CJ240" s="21"/>
      <c r="CK240" s="21"/>
      <c r="CL240" s="21"/>
      <c r="CM240" s="21"/>
      <c r="CN240" s="21"/>
      <c r="CO240" s="21"/>
      <c r="CP240" s="21"/>
      <c r="CQ240" s="21"/>
      <c r="CR240" s="21"/>
      <c r="CS240" s="21"/>
      <c r="CT240" s="21"/>
      <c r="CU240" s="21"/>
      <c r="CV240" s="21"/>
      <c r="CW240" s="21"/>
      <c r="CX240" s="21"/>
      <c r="CY240" s="21"/>
      <c r="CZ240" s="21"/>
      <c r="DA240" s="21"/>
      <c r="DB240" s="21"/>
      <c r="DC240" s="21"/>
      <c r="DD240" s="21"/>
      <c r="DE240" s="21"/>
      <c r="DF240" s="21"/>
      <c r="DG240" s="21"/>
      <c r="DH240" s="21"/>
      <c r="DI240" s="21"/>
      <c r="DJ240" s="21"/>
      <c r="DK240" s="21"/>
      <c r="DL240" s="21"/>
      <c r="DM240" s="21"/>
      <c r="DN240" s="21"/>
      <c r="DO240" s="21"/>
      <c r="DP240" s="21"/>
      <c r="DQ240" s="21"/>
      <c r="DR240" s="21"/>
      <c r="DS240" s="21"/>
      <c r="DT240" s="21"/>
      <c r="DU240" s="21"/>
    </row>
    <row r="241" spans="1:125" x14ac:dyDescent="0.2">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21"/>
      <c r="AS241" s="21"/>
      <c r="AT241" s="21"/>
      <c r="AU241" s="21"/>
      <c r="AV241" s="21"/>
      <c r="AW241" s="21"/>
      <c r="AX241" s="21"/>
      <c r="AY241" s="21"/>
      <c r="AZ241" s="21"/>
      <c r="BA241" s="21"/>
      <c r="BB241" s="21"/>
      <c r="BC241" s="21"/>
      <c r="BD241" s="21"/>
      <c r="BE241" s="21"/>
      <c r="BF241" s="21"/>
      <c r="BG241" s="21"/>
      <c r="BH241" s="21"/>
      <c r="BI241" s="21"/>
      <c r="BJ241" s="21"/>
      <c r="BK241" s="21"/>
      <c r="BL241" s="21"/>
      <c r="BM241" s="21"/>
      <c r="BN241" s="21"/>
      <c r="BO241" s="21"/>
      <c r="BP241" s="21"/>
      <c r="BQ241" s="21"/>
      <c r="BR241" s="21"/>
      <c r="BS241" s="21"/>
      <c r="BT241" s="21"/>
      <c r="BU241" s="21"/>
      <c r="BV241" s="21"/>
      <c r="BW241" s="21"/>
      <c r="BX241" s="21"/>
      <c r="BY241" s="21"/>
      <c r="BZ241" s="21"/>
      <c r="CA241" s="21"/>
      <c r="CB241" s="21"/>
      <c r="CC241" s="21"/>
      <c r="CD241" s="21"/>
      <c r="CE241" s="21"/>
      <c r="CF241" s="21"/>
      <c r="CG241" s="21"/>
      <c r="CH241" s="21"/>
      <c r="CI241" s="21"/>
      <c r="CJ241" s="21"/>
      <c r="CK241" s="21"/>
      <c r="CL241" s="21"/>
      <c r="CM241" s="21"/>
      <c r="CN241" s="21"/>
      <c r="CO241" s="21"/>
      <c r="CP241" s="21"/>
      <c r="CQ241" s="21"/>
      <c r="CR241" s="21"/>
      <c r="CS241" s="21"/>
      <c r="CT241" s="21"/>
      <c r="CU241" s="21"/>
      <c r="CV241" s="21"/>
      <c r="CW241" s="21"/>
      <c r="CX241" s="21"/>
      <c r="CY241" s="21"/>
      <c r="CZ241" s="21"/>
      <c r="DA241" s="21"/>
      <c r="DB241" s="21"/>
      <c r="DC241" s="21"/>
      <c r="DD241" s="21"/>
      <c r="DE241" s="21"/>
      <c r="DF241" s="21"/>
      <c r="DG241" s="21"/>
      <c r="DH241" s="21"/>
      <c r="DI241" s="21"/>
      <c r="DJ241" s="21"/>
      <c r="DK241" s="21"/>
      <c r="DL241" s="21"/>
      <c r="DM241" s="21"/>
      <c r="DN241" s="21"/>
      <c r="DO241" s="21"/>
      <c r="DP241" s="21"/>
      <c r="DQ241" s="21"/>
      <c r="DR241" s="21"/>
      <c r="DS241" s="21"/>
      <c r="DT241" s="21"/>
      <c r="DU241" s="21"/>
    </row>
    <row r="242" spans="1:125" x14ac:dyDescent="0.2">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21"/>
      <c r="AS242" s="21"/>
      <c r="AT242" s="21"/>
      <c r="AU242" s="21"/>
      <c r="AV242" s="21"/>
      <c r="AW242" s="21"/>
      <c r="AX242" s="21"/>
      <c r="AY242" s="21"/>
      <c r="AZ242" s="21"/>
      <c r="BA242" s="21"/>
      <c r="BB242" s="21"/>
      <c r="BC242" s="21"/>
      <c r="BD242" s="21"/>
      <c r="BE242" s="21"/>
      <c r="BF242" s="21"/>
      <c r="BG242" s="21"/>
      <c r="BH242" s="21"/>
      <c r="BI242" s="21"/>
      <c r="BJ242" s="21"/>
      <c r="BK242" s="21"/>
      <c r="BL242" s="21"/>
      <c r="BM242" s="21"/>
      <c r="BN242" s="21"/>
      <c r="BO242" s="21"/>
      <c r="BP242" s="21"/>
      <c r="BQ242" s="21"/>
      <c r="BR242" s="21"/>
      <c r="BS242" s="21"/>
      <c r="BT242" s="21"/>
      <c r="BU242" s="21"/>
      <c r="BV242" s="21"/>
      <c r="BW242" s="21"/>
      <c r="BX242" s="21"/>
      <c r="BY242" s="21"/>
      <c r="BZ242" s="21"/>
      <c r="CA242" s="21"/>
      <c r="CB242" s="21"/>
      <c r="CC242" s="21"/>
      <c r="CD242" s="21"/>
      <c r="CE242" s="21"/>
      <c r="CF242" s="21"/>
      <c r="CG242" s="21"/>
      <c r="CH242" s="21"/>
      <c r="CI242" s="21"/>
      <c r="CJ242" s="21"/>
      <c r="CK242" s="21"/>
      <c r="CL242" s="21"/>
      <c r="CM242" s="21"/>
      <c r="CN242" s="21"/>
      <c r="CO242" s="21"/>
      <c r="CP242" s="21"/>
      <c r="CQ242" s="21"/>
      <c r="CR242" s="21"/>
      <c r="CS242" s="21"/>
      <c r="CT242" s="21"/>
      <c r="CU242" s="21"/>
      <c r="CV242" s="21"/>
      <c r="CW242" s="21"/>
      <c r="CX242" s="21"/>
      <c r="CY242" s="21"/>
      <c r="CZ242" s="21"/>
      <c r="DA242" s="21"/>
      <c r="DB242" s="21"/>
      <c r="DC242" s="21"/>
      <c r="DD242" s="21"/>
      <c r="DE242" s="21"/>
      <c r="DF242" s="21"/>
      <c r="DG242" s="21"/>
      <c r="DH242" s="21"/>
      <c r="DI242" s="21"/>
      <c r="DJ242" s="21"/>
      <c r="DK242" s="21"/>
      <c r="DL242" s="21"/>
      <c r="DM242" s="21"/>
      <c r="DN242" s="21"/>
      <c r="DO242" s="21"/>
      <c r="DP242" s="21"/>
      <c r="DQ242" s="21"/>
      <c r="DR242" s="21"/>
      <c r="DS242" s="21"/>
      <c r="DT242" s="21"/>
      <c r="DU242" s="21"/>
    </row>
    <row r="243" spans="1:125" x14ac:dyDescent="0.2">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21"/>
      <c r="AS243" s="21"/>
      <c r="AT243" s="21"/>
      <c r="AU243" s="21"/>
      <c r="AV243" s="21"/>
      <c r="AW243" s="21"/>
      <c r="AX243" s="21"/>
      <c r="AY243" s="21"/>
      <c r="AZ243" s="21"/>
      <c r="BA243" s="21"/>
      <c r="BB243" s="21"/>
      <c r="BC243" s="21"/>
      <c r="BD243" s="21"/>
      <c r="BE243" s="21"/>
      <c r="BF243" s="21"/>
      <c r="BG243" s="21"/>
      <c r="BH243" s="21"/>
      <c r="BI243" s="21"/>
      <c r="BJ243" s="21"/>
      <c r="BK243" s="21"/>
      <c r="BL243" s="21"/>
      <c r="BM243" s="21"/>
      <c r="BN243" s="21"/>
      <c r="BO243" s="21"/>
      <c r="BP243" s="21"/>
      <c r="BQ243" s="21"/>
      <c r="BR243" s="21"/>
      <c r="BS243" s="21"/>
      <c r="BT243" s="21"/>
      <c r="BU243" s="21"/>
      <c r="BV243" s="21"/>
      <c r="BW243" s="21"/>
      <c r="BX243" s="21"/>
      <c r="BY243" s="21"/>
      <c r="BZ243" s="21"/>
      <c r="CA243" s="21"/>
      <c r="CB243" s="21"/>
      <c r="CC243" s="21"/>
      <c r="CD243" s="21"/>
      <c r="CE243" s="21"/>
      <c r="CF243" s="21"/>
      <c r="CG243" s="21"/>
      <c r="CH243" s="21"/>
      <c r="CI243" s="21"/>
      <c r="CJ243" s="21"/>
      <c r="CK243" s="21"/>
      <c r="CL243" s="21"/>
      <c r="CM243" s="21"/>
      <c r="CN243" s="21"/>
      <c r="CO243" s="21"/>
      <c r="CP243" s="21"/>
      <c r="CQ243" s="21"/>
      <c r="CR243" s="21"/>
      <c r="CS243" s="21"/>
      <c r="CT243" s="21"/>
      <c r="CU243" s="21"/>
      <c r="CV243" s="21"/>
      <c r="CW243" s="21"/>
      <c r="CX243" s="21"/>
      <c r="CY243" s="21"/>
      <c r="CZ243" s="21"/>
      <c r="DA243" s="21"/>
      <c r="DB243" s="21"/>
      <c r="DC243" s="21"/>
      <c r="DD243" s="21"/>
      <c r="DE243" s="21"/>
      <c r="DF243" s="21"/>
      <c r="DG243" s="21"/>
      <c r="DH243" s="21"/>
      <c r="DI243" s="21"/>
      <c r="DJ243" s="21"/>
      <c r="DK243" s="21"/>
      <c r="DL243" s="21"/>
      <c r="DM243" s="21"/>
      <c r="DN243" s="21"/>
      <c r="DO243" s="21"/>
      <c r="DP243" s="21"/>
      <c r="DQ243" s="21"/>
      <c r="DR243" s="21"/>
      <c r="DS243" s="21"/>
      <c r="DT243" s="21"/>
      <c r="DU243" s="21"/>
    </row>
    <row r="244" spans="1:125" x14ac:dyDescent="0.2">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21"/>
      <c r="AS244" s="21"/>
      <c r="AT244" s="21"/>
      <c r="AU244" s="21"/>
      <c r="AV244" s="21"/>
      <c r="AW244" s="21"/>
      <c r="AX244" s="21"/>
      <c r="AY244" s="21"/>
      <c r="AZ244" s="21"/>
      <c r="BA244" s="21"/>
      <c r="BB244" s="21"/>
      <c r="BC244" s="21"/>
      <c r="BD244" s="21"/>
      <c r="BE244" s="21"/>
      <c r="BF244" s="21"/>
      <c r="BG244" s="21"/>
      <c r="BH244" s="21"/>
      <c r="BI244" s="21"/>
      <c r="BJ244" s="21"/>
      <c r="BK244" s="21"/>
      <c r="BL244" s="21"/>
      <c r="BM244" s="21"/>
      <c r="BN244" s="21"/>
      <c r="BO244" s="21"/>
      <c r="BP244" s="21"/>
      <c r="BQ244" s="21"/>
      <c r="BR244" s="21"/>
      <c r="BS244" s="21"/>
      <c r="BT244" s="21"/>
      <c r="BU244" s="21"/>
      <c r="BV244" s="21"/>
      <c r="BW244" s="21"/>
      <c r="BX244" s="21"/>
      <c r="BY244" s="21"/>
      <c r="BZ244" s="21"/>
      <c r="CA244" s="21"/>
      <c r="CB244" s="21"/>
      <c r="CC244" s="21"/>
      <c r="CD244" s="21"/>
      <c r="CE244" s="21"/>
      <c r="CF244" s="21"/>
      <c r="CG244" s="21"/>
      <c r="CH244" s="21"/>
      <c r="CI244" s="21"/>
      <c r="CJ244" s="21"/>
      <c r="CK244" s="21"/>
      <c r="CL244" s="21"/>
      <c r="CM244" s="21"/>
      <c r="CN244" s="21"/>
      <c r="CO244" s="21"/>
      <c r="CP244" s="21"/>
      <c r="CQ244" s="21"/>
      <c r="CR244" s="21"/>
      <c r="CS244" s="21"/>
      <c r="CT244" s="21"/>
      <c r="CU244" s="21"/>
      <c r="CV244" s="21"/>
      <c r="CW244" s="21"/>
      <c r="CX244" s="21"/>
      <c r="CY244" s="21"/>
      <c r="CZ244" s="21"/>
      <c r="DA244" s="21"/>
      <c r="DB244" s="21"/>
      <c r="DC244" s="21"/>
      <c r="DD244" s="21"/>
      <c r="DE244" s="21"/>
      <c r="DF244" s="21"/>
      <c r="DG244" s="21"/>
      <c r="DH244" s="21"/>
      <c r="DI244" s="21"/>
      <c r="DJ244" s="21"/>
      <c r="DK244" s="21"/>
      <c r="DL244" s="21"/>
      <c r="DM244" s="21"/>
      <c r="DN244" s="21"/>
      <c r="DO244" s="21"/>
      <c r="DP244" s="21"/>
      <c r="DQ244" s="21"/>
      <c r="DR244" s="21"/>
      <c r="DS244" s="21"/>
      <c r="DT244" s="21"/>
      <c r="DU244" s="21"/>
    </row>
    <row r="245" spans="1:125" x14ac:dyDescent="0.2">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21"/>
      <c r="AS245" s="21"/>
      <c r="AT245" s="21"/>
      <c r="AU245" s="21"/>
      <c r="AV245" s="21"/>
      <c r="AW245" s="21"/>
      <c r="AX245" s="21"/>
      <c r="AY245" s="21"/>
      <c r="AZ245" s="21"/>
      <c r="BA245" s="21"/>
      <c r="BB245" s="21"/>
      <c r="BC245" s="21"/>
      <c r="BD245" s="21"/>
      <c r="BE245" s="21"/>
      <c r="BF245" s="21"/>
      <c r="BG245" s="21"/>
      <c r="BH245" s="21"/>
      <c r="BI245" s="21"/>
      <c r="BJ245" s="21"/>
      <c r="BK245" s="21"/>
      <c r="BL245" s="21"/>
      <c r="BM245" s="21"/>
      <c r="BN245" s="21"/>
      <c r="BO245" s="21"/>
      <c r="BP245" s="21"/>
      <c r="BQ245" s="21"/>
      <c r="BR245" s="21"/>
      <c r="BS245" s="21"/>
      <c r="BT245" s="21"/>
      <c r="BU245" s="21"/>
      <c r="BV245" s="21"/>
      <c r="BW245" s="21"/>
      <c r="BX245" s="21"/>
      <c r="BY245" s="21"/>
      <c r="BZ245" s="21"/>
      <c r="CA245" s="21"/>
      <c r="CB245" s="21"/>
      <c r="CC245" s="21"/>
      <c r="CD245" s="21"/>
      <c r="CE245" s="21"/>
      <c r="CF245" s="21"/>
      <c r="CG245" s="21"/>
      <c r="CH245" s="21"/>
      <c r="CI245" s="21"/>
      <c r="CJ245" s="21"/>
      <c r="CK245" s="21"/>
      <c r="CL245" s="21"/>
      <c r="CM245" s="21"/>
      <c r="CN245" s="21"/>
      <c r="CO245" s="21"/>
      <c r="CP245" s="21"/>
      <c r="CQ245" s="21"/>
      <c r="CR245" s="21"/>
      <c r="CS245" s="21"/>
      <c r="CT245" s="21"/>
      <c r="CU245" s="21"/>
      <c r="CV245" s="21"/>
      <c r="CW245" s="21"/>
      <c r="CX245" s="21"/>
      <c r="CY245" s="21"/>
      <c r="CZ245" s="21"/>
      <c r="DA245" s="21"/>
      <c r="DB245" s="21"/>
      <c r="DC245" s="21"/>
      <c r="DD245" s="21"/>
      <c r="DE245" s="21"/>
      <c r="DF245" s="21"/>
      <c r="DG245" s="21"/>
      <c r="DH245" s="21"/>
      <c r="DI245" s="21"/>
      <c r="DJ245" s="21"/>
      <c r="DK245" s="21"/>
      <c r="DL245" s="21"/>
      <c r="DM245" s="21"/>
      <c r="DN245" s="21"/>
      <c r="DO245" s="21"/>
      <c r="DP245" s="21"/>
      <c r="DQ245" s="21"/>
      <c r="DR245" s="21"/>
      <c r="DS245" s="21"/>
      <c r="DT245" s="21"/>
      <c r="DU245" s="21"/>
    </row>
    <row r="246" spans="1:125" x14ac:dyDescent="0.2">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21"/>
      <c r="AS246" s="21"/>
      <c r="AT246" s="21"/>
      <c r="AU246" s="21"/>
      <c r="AV246" s="21"/>
      <c r="AW246" s="21"/>
      <c r="AX246" s="21"/>
      <c r="AY246" s="21"/>
      <c r="AZ246" s="21"/>
      <c r="BA246" s="21"/>
      <c r="BB246" s="21"/>
      <c r="BC246" s="21"/>
      <c r="BD246" s="21"/>
      <c r="BE246" s="21"/>
      <c r="BF246" s="21"/>
      <c r="BG246" s="21"/>
      <c r="BH246" s="21"/>
      <c r="BI246" s="21"/>
      <c r="BJ246" s="21"/>
      <c r="BK246" s="21"/>
      <c r="BL246" s="21"/>
      <c r="BM246" s="21"/>
      <c r="BN246" s="21"/>
      <c r="BO246" s="21"/>
      <c r="BP246" s="21"/>
      <c r="BQ246" s="21"/>
      <c r="BR246" s="21"/>
      <c r="BS246" s="21"/>
      <c r="BT246" s="21"/>
      <c r="BU246" s="21"/>
      <c r="BV246" s="21"/>
      <c r="BW246" s="21"/>
      <c r="BX246" s="21"/>
      <c r="BY246" s="21"/>
      <c r="BZ246" s="21"/>
      <c r="CA246" s="21"/>
      <c r="CB246" s="21"/>
      <c r="CC246" s="21"/>
      <c r="CD246" s="21"/>
      <c r="CE246" s="21"/>
      <c r="CF246" s="21"/>
      <c r="CG246" s="21"/>
      <c r="CH246" s="21"/>
      <c r="CI246" s="21"/>
      <c r="CJ246" s="21"/>
      <c r="CK246" s="21"/>
      <c r="CL246" s="21"/>
      <c r="CM246" s="21"/>
      <c r="CN246" s="21"/>
      <c r="CO246" s="21"/>
      <c r="CP246" s="21"/>
      <c r="CQ246" s="21"/>
      <c r="CR246" s="21"/>
      <c r="CS246" s="21"/>
      <c r="CT246" s="21"/>
      <c r="CU246" s="21"/>
      <c r="CV246" s="21"/>
      <c r="CW246" s="21"/>
      <c r="CX246" s="21"/>
      <c r="CY246" s="21"/>
      <c r="CZ246" s="21"/>
      <c r="DA246" s="21"/>
      <c r="DB246" s="21"/>
      <c r="DC246" s="21"/>
      <c r="DD246" s="21"/>
      <c r="DE246" s="21"/>
      <c r="DF246" s="21"/>
      <c r="DG246" s="21"/>
      <c r="DH246" s="21"/>
      <c r="DI246" s="21"/>
      <c r="DJ246" s="21"/>
      <c r="DK246" s="21"/>
      <c r="DL246" s="21"/>
      <c r="DM246" s="21"/>
      <c r="DN246" s="21"/>
      <c r="DO246" s="21"/>
      <c r="DP246" s="21"/>
      <c r="DQ246" s="21"/>
      <c r="DR246" s="21"/>
      <c r="DS246" s="21"/>
      <c r="DT246" s="21"/>
      <c r="DU246" s="21"/>
    </row>
    <row r="247" spans="1:125" x14ac:dyDescent="0.2">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21"/>
      <c r="AS247" s="21"/>
      <c r="AT247" s="21"/>
      <c r="AU247" s="21"/>
      <c r="AV247" s="21"/>
      <c r="AW247" s="21"/>
      <c r="AX247" s="21"/>
      <c r="AY247" s="21"/>
      <c r="AZ247" s="21"/>
      <c r="BA247" s="21"/>
      <c r="BB247" s="21"/>
      <c r="BC247" s="21"/>
      <c r="BD247" s="21"/>
      <c r="BE247" s="21"/>
      <c r="BF247" s="21"/>
      <c r="BG247" s="21"/>
      <c r="BH247" s="21"/>
      <c r="BI247" s="21"/>
      <c r="BJ247" s="21"/>
      <c r="BK247" s="21"/>
      <c r="BL247" s="21"/>
      <c r="BM247" s="21"/>
      <c r="BN247" s="21"/>
      <c r="BO247" s="21"/>
      <c r="BP247" s="21"/>
      <c r="BQ247" s="21"/>
      <c r="BR247" s="21"/>
      <c r="BS247" s="21"/>
      <c r="BT247" s="21"/>
      <c r="BU247" s="21"/>
      <c r="BV247" s="21"/>
      <c r="BW247" s="21"/>
      <c r="BX247" s="21"/>
      <c r="BY247" s="21"/>
      <c r="BZ247" s="21"/>
      <c r="CA247" s="21"/>
      <c r="CB247" s="21"/>
      <c r="CC247" s="21"/>
      <c r="CD247" s="21"/>
      <c r="CE247" s="21"/>
      <c r="CF247" s="21"/>
      <c r="CG247" s="21"/>
      <c r="CH247" s="21"/>
      <c r="CI247" s="21"/>
      <c r="CJ247" s="21"/>
      <c r="CK247" s="21"/>
      <c r="CL247" s="21"/>
      <c r="CM247" s="21"/>
      <c r="CN247" s="21"/>
      <c r="CO247" s="21"/>
      <c r="CP247" s="21"/>
      <c r="CQ247" s="21"/>
      <c r="CR247" s="21"/>
      <c r="CS247" s="21"/>
      <c r="CT247" s="21"/>
      <c r="CU247" s="21"/>
      <c r="CV247" s="21"/>
      <c r="CW247" s="21"/>
      <c r="CX247" s="21"/>
      <c r="CY247" s="21"/>
      <c r="CZ247" s="21"/>
      <c r="DA247" s="21"/>
      <c r="DB247" s="21"/>
      <c r="DC247" s="21"/>
      <c r="DD247" s="21"/>
      <c r="DE247" s="21"/>
      <c r="DF247" s="21"/>
      <c r="DG247" s="21"/>
      <c r="DH247" s="21"/>
      <c r="DI247" s="21"/>
      <c r="DJ247" s="21"/>
      <c r="DK247" s="21"/>
      <c r="DL247" s="21"/>
      <c r="DM247" s="21"/>
      <c r="DN247" s="21"/>
      <c r="DO247" s="21"/>
      <c r="DP247" s="21"/>
      <c r="DQ247" s="21"/>
      <c r="DR247" s="21"/>
      <c r="DS247" s="21"/>
      <c r="DT247" s="21"/>
      <c r="DU247" s="21"/>
    </row>
    <row r="248" spans="1:125" x14ac:dyDescent="0.2">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21"/>
      <c r="AS248" s="21"/>
      <c r="AT248" s="21"/>
      <c r="AU248" s="21"/>
      <c r="AV248" s="21"/>
      <c r="AW248" s="21"/>
      <c r="AX248" s="21"/>
      <c r="AY248" s="21"/>
      <c r="AZ248" s="21"/>
      <c r="BA248" s="21"/>
      <c r="BB248" s="21"/>
      <c r="BC248" s="21"/>
      <c r="BD248" s="21"/>
      <c r="BE248" s="21"/>
      <c r="BF248" s="21"/>
      <c r="BG248" s="21"/>
      <c r="BH248" s="21"/>
      <c r="BI248" s="21"/>
      <c r="BJ248" s="21"/>
      <c r="BK248" s="21"/>
      <c r="BL248" s="21"/>
      <c r="BM248" s="21"/>
      <c r="BN248" s="21"/>
      <c r="BO248" s="21"/>
      <c r="BP248" s="21"/>
      <c r="BQ248" s="21"/>
      <c r="BR248" s="21"/>
      <c r="BS248" s="21"/>
      <c r="BT248" s="21"/>
      <c r="BU248" s="21"/>
      <c r="BV248" s="21"/>
      <c r="BW248" s="21"/>
      <c r="BX248" s="21"/>
      <c r="BY248" s="21"/>
      <c r="BZ248" s="21"/>
      <c r="CA248" s="21"/>
      <c r="CB248" s="21"/>
      <c r="CC248" s="21"/>
      <c r="CD248" s="21"/>
      <c r="CE248" s="21"/>
      <c r="CF248" s="21"/>
      <c r="CG248" s="21"/>
      <c r="CH248" s="21"/>
      <c r="CI248" s="21"/>
      <c r="CJ248" s="21"/>
      <c r="CK248" s="21"/>
      <c r="CL248" s="21"/>
      <c r="CM248" s="21"/>
      <c r="CN248" s="21"/>
      <c r="CO248" s="21"/>
      <c r="CP248" s="21"/>
      <c r="CQ248" s="21"/>
      <c r="CR248" s="21"/>
      <c r="CS248" s="21"/>
      <c r="CT248" s="21"/>
      <c r="CU248" s="21"/>
      <c r="CV248" s="21"/>
      <c r="CW248" s="21"/>
      <c r="CX248" s="21"/>
      <c r="CY248" s="21"/>
      <c r="CZ248" s="21"/>
      <c r="DA248" s="21"/>
      <c r="DB248" s="21"/>
      <c r="DC248" s="21"/>
      <c r="DD248" s="21"/>
      <c r="DE248" s="21"/>
      <c r="DF248" s="21"/>
      <c r="DG248" s="21"/>
      <c r="DH248" s="21"/>
      <c r="DI248" s="21"/>
      <c r="DJ248" s="21"/>
      <c r="DK248" s="21"/>
      <c r="DL248" s="21"/>
      <c r="DM248" s="21"/>
      <c r="DN248" s="21"/>
      <c r="DO248" s="21"/>
      <c r="DP248" s="21"/>
      <c r="DQ248" s="21"/>
      <c r="DR248" s="21"/>
      <c r="DS248" s="21"/>
      <c r="DT248" s="21"/>
      <c r="DU248" s="21"/>
    </row>
    <row r="249" spans="1:125" x14ac:dyDescent="0.2">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21"/>
      <c r="AS249" s="21"/>
      <c r="AT249" s="21"/>
      <c r="AU249" s="21"/>
      <c r="AV249" s="21"/>
      <c r="AW249" s="21"/>
      <c r="AX249" s="21"/>
      <c r="AY249" s="21"/>
      <c r="AZ249" s="21"/>
      <c r="BA249" s="21"/>
      <c r="BB249" s="21"/>
      <c r="BC249" s="21"/>
      <c r="BD249" s="21"/>
      <c r="BE249" s="21"/>
      <c r="BF249" s="21"/>
      <c r="BG249" s="21"/>
      <c r="BH249" s="21"/>
      <c r="BI249" s="21"/>
      <c r="BJ249" s="21"/>
      <c r="BK249" s="21"/>
      <c r="BL249" s="21"/>
      <c r="BM249" s="21"/>
      <c r="BN249" s="21"/>
      <c r="BO249" s="21"/>
      <c r="BP249" s="21"/>
      <c r="BQ249" s="21"/>
      <c r="BR249" s="21"/>
      <c r="BS249" s="21"/>
      <c r="BT249" s="21"/>
      <c r="BU249" s="21"/>
      <c r="BV249" s="21"/>
      <c r="BW249" s="21"/>
      <c r="BX249" s="21"/>
      <c r="BY249" s="21"/>
      <c r="BZ249" s="21"/>
      <c r="CA249" s="21"/>
      <c r="CB249" s="21"/>
      <c r="CC249" s="21"/>
      <c r="CD249" s="21"/>
      <c r="CE249" s="21"/>
      <c r="CF249" s="21"/>
      <c r="CG249" s="21"/>
      <c r="CH249" s="21"/>
      <c r="CI249" s="21"/>
      <c r="CJ249" s="21"/>
      <c r="CK249" s="21"/>
      <c r="CL249" s="21"/>
      <c r="CM249" s="21"/>
      <c r="CN249" s="21"/>
      <c r="CO249" s="21"/>
      <c r="CP249" s="21"/>
      <c r="CQ249" s="21"/>
      <c r="CR249" s="21"/>
      <c r="CS249" s="21"/>
      <c r="CT249" s="21"/>
      <c r="CU249" s="21"/>
      <c r="CV249" s="21"/>
      <c r="CW249" s="21"/>
      <c r="CX249" s="21"/>
      <c r="CY249" s="21"/>
      <c r="CZ249" s="21"/>
      <c r="DA249" s="21"/>
      <c r="DB249" s="21"/>
      <c r="DC249" s="21"/>
      <c r="DD249" s="21"/>
      <c r="DE249" s="21"/>
      <c r="DF249" s="21"/>
      <c r="DG249" s="21"/>
      <c r="DH249" s="21"/>
      <c r="DI249" s="21"/>
      <c r="DJ249" s="21"/>
      <c r="DK249" s="21"/>
      <c r="DL249" s="21"/>
      <c r="DM249" s="21"/>
      <c r="DN249" s="21"/>
      <c r="DO249" s="21"/>
      <c r="DP249" s="21"/>
      <c r="DQ249" s="21"/>
      <c r="DR249" s="21"/>
      <c r="DS249" s="21"/>
      <c r="DT249" s="21"/>
      <c r="DU249" s="21"/>
    </row>
    <row r="250" spans="1:125" x14ac:dyDescent="0.2">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21"/>
      <c r="AS250" s="21"/>
      <c r="AT250" s="21"/>
      <c r="AU250" s="21"/>
      <c r="AV250" s="21"/>
      <c r="AW250" s="21"/>
      <c r="AX250" s="21"/>
      <c r="AY250" s="21"/>
      <c r="AZ250" s="21"/>
      <c r="BA250" s="21"/>
      <c r="BB250" s="21"/>
      <c r="BC250" s="21"/>
      <c r="BD250" s="21"/>
      <c r="BE250" s="21"/>
      <c r="BF250" s="21"/>
      <c r="BG250" s="21"/>
      <c r="BH250" s="21"/>
      <c r="BI250" s="21"/>
      <c r="BJ250" s="21"/>
      <c r="BK250" s="21"/>
      <c r="BL250" s="21"/>
      <c r="BM250" s="21"/>
      <c r="BN250" s="21"/>
      <c r="BO250" s="21"/>
      <c r="BP250" s="21"/>
      <c r="BQ250" s="21"/>
      <c r="BR250" s="21"/>
      <c r="BS250" s="21"/>
      <c r="BT250" s="21"/>
      <c r="BU250" s="21"/>
      <c r="BV250" s="21"/>
      <c r="BW250" s="21"/>
      <c r="BX250" s="21"/>
      <c r="BY250" s="21"/>
      <c r="BZ250" s="21"/>
      <c r="CA250" s="21"/>
      <c r="CB250" s="21"/>
      <c r="CC250" s="21"/>
      <c r="CD250" s="21"/>
      <c r="CE250" s="21"/>
      <c r="CF250" s="21"/>
      <c r="CG250" s="21"/>
      <c r="CH250" s="21"/>
      <c r="CI250" s="21"/>
      <c r="CJ250" s="21"/>
      <c r="CK250" s="21"/>
      <c r="CL250" s="21"/>
      <c r="CM250" s="21"/>
      <c r="CN250" s="21"/>
      <c r="CO250" s="21"/>
      <c r="CP250" s="21"/>
      <c r="CQ250" s="21"/>
      <c r="CR250" s="21"/>
      <c r="CS250" s="21"/>
      <c r="CT250" s="21"/>
      <c r="CU250" s="21"/>
      <c r="CV250" s="21"/>
      <c r="CW250" s="21"/>
      <c r="CX250" s="21"/>
      <c r="CY250" s="21"/>
      <c r="CZ250" s="21"/>
      <c r="DA250" s="21"/>
      <c r="DB250" s="21"/>
      <c r="DC250" s="21"/>
      <c r="DD250" s="21"/>
      <c r="DE250" s="21"/>
      <c r="DF250" s="21"/>
      <c r="DG250" s="21"/>
      <c r="DH250" s="21"/>
      <c r="DI250" s="21"/>
      <c r="DJ250" s="21"/>
      <c r="DK250" s="21"/>
      <c r="DL250" s="21"/>
      <c r="DM250" s="21"/>
      <c r="DN250" s="21"/>
      <c r="DO250" s="21"/>
      <c r="DP250" s="21"/>
      <c r="DQ250" s="21"/>
      <c r="DR250" s="21"/>
      <c r="DS250" s="21"/>
      <c r="DT250" s="21"/>
      <c r="DU250" s="21"/>
    </row>
    <row r="251" spans="1:125" x14ac:dyDescent="0.2">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c r="AN251" s="21"/>
      <c r="AO251" s="21"/>
      <c r="AP251" s="21"/>
      <c r="AQ251" s="21"/>
      <c r="AR251" s="21"/>
      <c r="AS251" s="21"/>
      <c r="AT251" s="21"/>
      <c r="AU251" s="21"/>
      <c r="AV251" s="21"/>
      <c r="AW251" s="21"/>
      <c r="AX251" s="21"/>
      <c r="AY251" s="21"/>
      <c r="AZ251" s="21"/>
      <c r="BA251" s="21"/>
      <c r="BB251" s="21"/>
      <c r="BC251" s="21"/>
      <c r="BD251" s="21"/>
      <c r="BE251" s="21"/>
      <c r="BF251" s="21"/>
      <c r="BG251" s="21"/>
      <c r="BH251" s="21"/>
      <c r="BI251" s="21"/>
      <c r="BJ251" s="21"/>
      <c r="BK251" s="21"/>
      <c r="BL251" s="21"/>
      <c r="BM251" s="21"/>
      <c r="BN251" s="21"/>
      <c r="BO251" s="21"/>
      <c r="BP251" s="21"/>
      <c r="BQ251" s="21"/>
      <c r="BR251" s="21"/>
      <c r="BS251" s="21"/>
      <c r="BT251" s="21"/>
      <c r="BU251" s="21"/>
      <c r="BV251" s="21"/>
      <c r="BW251" s="21"/>
      <c r="BX251" s="21"/>
      <c r="BY251" s="21"/>
      <c r="BZ251" s="21"/>
      <c r="CA251" s="21"/>
      <c r="CB251" s="21"/>
      <c r="CC251" s="21"/>
      <c r="CD251" s="21"/>
      <c r="CE251" s="21"/>
      <c r="CF251" s="21"/>
      <c r="CG251" s="21"/>
      <c r="CH251" s="21"/>
      <c r="CI251" s="21"/>
      <c r="CJ251" s="21"/>
      <c r="CK251" s="21"/>
      <c r="CL251" s="21"/>
      <c r="CM251" s="21"/>
      <c r="CN251" s="21"/>
      <c r="CO251" s="21"/>
      <c r="CP251" s="21"/>
      <c r="CQ251" s="21"/>
      <c r="CR251" s="21"/>
      <c r="CS251" s="21"/>
      <c r="CT251" s="21"/>
      <c r="CU251" s="21"/>
      <c r="CV251" s="21"/>
      <c r="CW251" s="21"/>
      <c r="CX251" s="21"/>
      <c r="CY251" s="21"/>
      <c r="CZ251" s="21"/>
      <c r="DA251" s="21"/>
      <c r="DB251" s="21"/>
      <c r="DC251" s="21"/>
      <c r="DD251" s="21"/>
      <c r="DE251" s="21"/>
      <c r="DF251" s="21"/>
      <c r="DG251" s="21"/>
      <c r="DH251" s="21"/>
      <c r="DI251" s="21"/>
      <c r="DJ251" s="21"/>
      <c r="DK251" s="21"/>
      <c r="DL251" s="21"/>
      <c r="DM251" s="21"/>
      <c r="DN251" s="21"/>
      <c r="DO251" s="21"/>
      <c r="DP251" s="21"/>
      <c r="DQ251" s="21"/>
      <c r="DR251" s="21"/>
      <c r="DS251" s="21"/>
      <c r="DT251" s="21"/>
      <c r="DU251" s="21"/>
    </row>
    <row r="252" spans="1:125" x14ac:dyDescent="0.2">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1"/>
      <c r="AX252" s="21"/>
      <c r="AY252" s="21"/>
      <c r="AZ252" s="21"/>
      <c r="BA252" s="21"/>
      <c r="BB252" s="21"/>
      <c r="BC252" s="21"/>
      <c r="BD252" s="21"/>
      <c r="BE252" s="21"/>
      <c r="BF252" s="21"/>
      <c r="BG252" s="21"/>
      <c r="BH252" s="21"/>
      <c r="BI252" s="21"/>
      <c r="BJ252" s="21"/>
      <c r="BK252" s="21"/>
      <c r="BL252" s="21"/>
      <c r="BM252" s="21"/>
      <c r="BN252" s="21"/>
      <c r="BO252" s="21"/>
      <c r="BP252" s="21"/>
      <c r="BQ252" s="21"/>
      <c r="BR252" s="21"/>
      <c r="BS252" s="21"/>
      <c r="BT252" s="21"/>
      <c r="BU252" s="21"/>
      <c r="BV252" s="21"/>
      <c r="BW252" s="21"/>
      <c r="BX252" s="21"/>
      <c r="BY252" s="21"/>
      <c r="BZ252" s="21"/>
      <c r="CA252" s="21"/>
      <c r="CB252" s="21"/>
      <c r="CC252" s="21"/>
      <c r="CD252" s="21"/>
      <c r="CE252" s="21"/>
      <c r="CF252" s="21"/>
      <c r="CG252" s="21"/>
      <c r="CH252" s="21"/>
      <c r="CI252" s="21"/>
      <c r="CJ252" s="21"/>
      <c r="CK252" s="21"/>
      <c r="CL252" s="21"/>
      <c r="CM252" s="21"/>
      <c r="CN252" s="21"/>
      <c r="CO252" s="21"/>
      <c r="CP252" s="21"/>
      <c r="CQ252" s="21"/>
      <c r="CR252" s="21"/>
      <c r="CS252" s="21"/>
      <c r="CT252" s="21"/>
      <c r="CU252" s="21"/>
      <c r="CV252" s="21"/>
      <c r="CW252" s="21"/>
      <c r="CX252" s="21"/>
      <c r="CY252" s="21"/>
      <c r="CZ252" s="21"/>
      <c r="DA252" s="21"/>
      <c r="DB252" s="21"/>
      <c r="DC252" s="21"/>
      <c r="DD252" s="21"/>
      <c r="DE252" s="21"/>
      <c r="DF252" s="21"/>
      <c r="DG252" s="21"/>
      <c r="DH252" s="21"/>
      <c r="DI252" s="21"/>
      <c r="DJ252" s="21"/>
      <c r="DK252" s="21"/>
      <c r="DL252" s="21"/>
      <c r="DM252" s="21"/>
      <c r="DN252" s="21"/>
      <c r="DO252" s="21"/>
      <c r="DP252" s="21"/>
      <c r="DQ252" s="21"/>
      <c r="DR252" s="21"/>
      <c r="DS252" s="21"/>
      <c r="DT252" s="21"/>
      <c r="DU252" s="21"/>
    </row>
    <row r="253" spans="1:125" x14ac:dyDescent="0.2">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c r="AN253" s="21"/>
      <c r="AO253" s="21"/>
      <c r="AP253" s="21"/>
      <c r="AQ253" s="21"/>
      <c r="AR253" s="21"/>
      <c r="AS253" s="21"/>
      <c r="AT253" s="21"/>
      <c r="AU253" s="21"/>
      <c r="AV253" s="21"/>
      <c r="AW253" s="21"/>
      <c r="AX253" s="21"/>
      <c r="AY253" s="21"/>
      <c r="AZ253" s="21"/>
      <c r="BA253" s="21"/>
      <c r="BB253" s="21"/>
      <c r="BC253" s="21"/>
      <c r="BD253" s="21"/>
      <c r="BE253" s="21"/>
      <c r="BF253" s="21"/>
      <c r="BG253" s="21"/>
      <c r="BH253" s="21"/>
      <c r="BI253" s="21"/>
      <c r="BJ253" s="21"/>
      <c r="BK253" s="21"/>
      <c r="BL253" s="21"/>
      <c r="BM253" s="21"/>
      <c r="BN253" s="21"/>
      <c r="BO253" s="21"/>
      <c r="BP253" s="21"/>
      <c r="BQ253" s="21"/>
      <c r="BR253" s="21"/>
      <c r="BS253" s="21"/>
      <c r="BT253" s="21"/>
      <c r="BU253" s="21"/>
      <c r="BV253" s="21"/>
      <c r="BW253" s="21"/>
      <c r="BX253" s="21"/>
      <c r="BY253" s="21"/>
      <c r="BZ253" s="21"/>
      <c r="CA253" s="21"/>
      <c r="CB253" s="21"/>
      <c r="CC253" s="21"/>
      <c r="CD253" s="21"/>
      <c r="CE253" s="21"/>
      <c r="CF253" s="21"/>
      <c r="CG253" s="21"/>
      <c r="CH253" s="21"/>
      <c r="CI253" s="21"/>
      <c r="CJ253" s="21"/>
      <c r="CK253" s="21"/>
      <c r="CL253" s="21"/>
      <c r="CM253" s="21"/>
      <c r="CN253" s="21"/>
      <c r="CO253" s="21"/>
      <c r="CP253" s="21"/>
      <c r="CQ253" s="21"/>
      <c r="CR253" s="21"/>
      <c r="CS253" s="21"/>
      <c r="CT253" s="21"/>
      <c r="CU253" s="21"/>
      <c r="CV253" s="21"/>
      <c r="CW253" s="21"/>
      <c r="CX253" s="21"/>
      <c r="CY253" s="21"/>
      <c r="CZ253" s="21"/>
      <c r="DA253" s="21"/>
      <c r="DB253" s="21"/>
      <c r="DC253" s="21"/>
      <c r="DD253" s="21"/>
      <c r="DE253" s="21"/>
      <c r="DF253" s="21"/>
      <c r="DG253" s="21"/>
      <c r="DH253" s="21"/>
      <c r="DI253" s="21"/>
      <c r="DJ253" s="21"/>
      <c r="DK253" s="21"/>
      <c r="DL253" s="21"/>
      <c r="DM253" s="21"/>
      <c r="DN253" s="21"/>
      <c r="DO253" s="21"/>
      <c r="DP253" s="21"/>
      <c r="DQ253" s="21"/>
      <c r="DR253" s="21"/>
      <c r="DS253" s="21"/>
      <c r="DT253" s="21"/>
      <c r="DU253" s="21"/>
    </row>
    <row r="254" spans="1:125" x14ac:dyDescent="0.2">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c r="AN254" s="21"/>
      <c r="AO254" s="21"/>
      <c r="AP254" s="21"/>
      <c r="AQ254" s="21"/>
      <c r="AR254" s="21"/>
      <c r="AS254" s="21"/>
      <c r="AT254" s="21"/>
      <c r="AU254" s="21"/>
      <c r="AV254" s="21"/>
      <c r="AW254" s="21"/>
      <c r="AX254" s="21"/>
      <c r="AY254" s="21"/>
      <c r="AZ254" s="21"/>
      <c r="BA254" s="21"/>
      <c r="BB254" s="21"/>
      <c r="BC254" s="21"/>
      <c r="BD254" s="21"/>
      <c r="BE254" s="21"/>
      <c r="BF254" s="21"/>
      <c r="BG254" s="21"/>
      <c r="BH254" s="21"/>
      <c r="BI254" s="21"/>
      <c r="BJ254" s="21"/>
      <c r="BK254" s="21"/>
      <c r="BL254" s="21"/>
      <c r="BM254" s="21"/>
      <c r="BN254" s="21"/>
      <c r="BO254" s="21"/>
      <c r="BP254" s="21"/>
      <c r="BQ254" s="21"/>
      <c r="BR254" s="21"/>
      <c r="BS254" s="21"/>
      <c r="BT254" s="21"/>
      <c r="BU254" s="21"/>
      <c r="BV254" s="21"/>
      <c r="BW254" s="21"/>
      <c r="BX254" s="21"/>
      <c r="BY254" s="21"/>
      <c r="BZ254" s="21"/>
      <c r="CA254" s="21"/>
      <c r="CB254" s="21"/>
      <c r="CC254" s="21"/>
      <c r="CD254" s="21"/>
      <c r="CE254" s="21"/>
      <c r="CF254" s="21"/>
      <c r="CG254" s="21"/>
      <c r="CH254" s="21"/>
      <c r="CI254" s="21"/>
      <c r="CJ254" s="21"/>
      <c r="CK254" s="21"/>
      <c r="CL254" s="21"/>
      <c r="CM254" s="21"/>
      <c r="CN254" s="21"/>
      <c r="CO254" s="21"/>
      <c r="CP254" s="21"/>
      <c r="CQ254" s="21"/>
      <c r="CR254" s="21"/>
      <c r="CS254" s="21"/>
      <c r="CT254" s="21"/>
      <c r="CU254" s="21"/>
      <c r="CV254" s="21"/>
      <c r="CW254" s="21"/>
      <c r="CX254" s="21"/>
      <c r="CY254" s="21"/>
      <c r="CZ254" s="21"/>
      <c r="DA254" s="21"/>
      <c r="DB254" s="21"/>
      <c r="DC254" s="21"/>
      <c r="DD254" s="21"/>
      <c r="DE254" s="21"/>
      <c r="DF254" s="21"/>
      <c r="DG254" s="21"/>
      <c r="DH254" s="21"/>
      <c r="DI254" s="21"/>
      <c r="DJ254" s="21"/>
      <c r="DK254" s="21"/>
      <c r="DL254" s="21"/>
      <c r="DM254" s="21"/>
      <c r="DN254" s="21"/>
      <c r="DO254" s="21"/>
      <c r="DP254" s="21"/>
      <c r="DQ254" s="21"/>
      <c r="DR254" s="21"/>
      <c r="DS254" s="21"/>
      <c r="DT254" s="21"/>
      <c r="DU254" s="21"/>
    </row>
    <row r="255" spans="1:125" x14ac:dyDescent="0.2">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c r="AN255" s="21"/>
      <c r="AO255" s="21"/>
      <c r="AP255" s="21"/>
      <c r="AQ255" s="21"/>
      <c r="AR255" s="21"/>
      <c r="AS255" s="21"/>
      <c r="AT255" s="21"/>
      <c r="AU255" s="21"/>
      <c r="AV255" s="21"/>
      <c r="AW255" s="21"/>
      <c r="AX255" s="21"/>
      <c r="AY255" s="21"/>
      <c r="AZ255" s="21"/>
      <c r="BA255" s="21"/>
      <c r="BB255" s="21"/>
      <c r="BC255" s="21"/>
      <c r="BD255" s="21"/>
      <c r="BE255" s="21"/>
      <c r="BF255" s="21"/>
      <c r="BG255" s="21"/>
      <c r="BH255" s="21"/>
      <c r="BI255" s="21"/>
      <c r="BJ255" s="21"/>
      <c r="BK255" s="21"/>
      <c r="BL255" s="21"/>
      <c r="BM255" s="21"/>
      <c r="BN255" s="21"/>
      <c r="BO255" s="21"/>
      <c r="BP255" s="21"/>
      <c r="BQ255" s="21"/>
      <c r="BR255" s="21"/>
      <c r="BS255" s="21"/>
      <c r="BT255" s="21"/>
      <c r="BU255" s="21"/>
      <c r="BV255" s="21"/>
      <c r="BW255" s="21"/>
      <c r="BX255" s="21"/>
      <c r="BY255" s="21"/>
      <c r="BZ255" s="21"/>
      <c r="CA255" s="21"/>
      <c r="CB255" s="21"/>
      <c r="CC255" s="21"/>
      <c r="CD255" s="21"/>
      <c r="CE255" s="21"/>
      <c r="CF255" s="21"/>
      <c r="CG255" s="21"/>
      <c r="CH255" s="21"/>
      <c r="CI255" s="21"/>
      <c r="CJ255" s="21"/>
      <c r="CK255" s="21"/>
      <c r="CL255" s="21"/>
      <c r="CM255" s="21"/>
      <c r="CN255" s="21"/>
      <c r="CO255" s="21"/>
      <c r="CP255" s="21"/>
      <c r="CQ255" s="21"/>
      <c r="CR255" s="21"/>
      <c r="CS255" s="21"/>
      <c r="CT255" s="21"/>
      <c r="CU255" s="21"/>
      <c r="CV255" s="21"/>
      <c r="CW255" s="21"/>
      <c r="CX255" s="21"/>
      <c r="CY255" s="21"/>
      <c r="CZ255" s="21"/>
      <c r="DA255" s="21"/>
      <c r="DB255" s="21"/>
      <c r="DC255" s="21"/>
      <c r="DD255" s="21"/>
      <c r="DE255" s="21"/>
      <c r="DF255" s="21"/>
      <c r="DG255" s="21"/>
      <c r="DH255" s="21"/>
      <c r="DI255" s="21"/>
      <c r="DJ255" s="21"/>
      <c r="DK255" s="21"/>
      <c r="DL255" s="21"/>
      <c r="DM255" s="21"/>
      <c r="DN255" s="21"/>
      <c r="DO255" s="21"/>
      <c r="DP255" s="21"/>
      <c r="DQ255" s="21"/>
      <c r="DR255" s="21"/>
      <c r="DS255" s="21"/>
      <c r="DT255" s="21"/>
      <c r="DU255" s="21"/>
    </row>
    <row r="256" spans="1:125" x14ac:dyDescent="0.2">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c r="AN256" s="21"/>
      <c r="AO256" s="21"/>
      <c r="AP256" s="21"/>
      <c r="AQ256" s="21"/>
      <c r="AR256" s="21"/>
      <c r="AS256" s="21"/>
      <c r="AT256" s="21"/>
      <c r="AU256" s="21"/>
      <c r="AV256" s="21"/>
      <c r="AW256" s="21"/>
      <c r="AX256" s="21"/>
      <c r="AY256" s="21"/>
      <c r="AZ256" s="21"/>
      <c r="BA256" s="21"/>
      <c r="BB256" s="21"/>
      <c r="BC256" s="21"/>
      <c r="BD256" s="21"/>
      <c r="BE256" s="21"/>
      <c r="BF256" s="21"/>
      <c r="BG256" s="21"/>
      <c r="BH256" s="21"/>
      <c r="BI256" s="21"/>
      <c r="BJ256" s="21"/>
      <c r="BK256" s="21"/>
      <c r="BL256" s="21"/>
      <c r="BM256" s="21"/>
      <c r="BN256" s="21"/>
      <c r="BO256" s="21"/>
      <c r="BP256" s="21"/>
      <c r="BQ256" s="21"/>
      <c r="BR256" s="21"/>
      <c r="BS256" s="21"/>
      <c r="BT256" s="21"/>
      <c r="BU256" s="21"/>
      <c r="BV256" s="21"/>
      <c r="BW256" s="21"/>
      <c r="BX256" s="21"/>
      <c r="BY256" s="21"/>
      <c r="BZ256" s="21"/>
      <c r="CA256" s="21"/>
      <c r="CB256" s="21"/>
      <c r="CC256" s="21"/>
      <c r="CD256" s="21"/>
      <c r="CE256" s="21"/>
      <c r="CF256" s="21"/>
      <c r="CG256" s="21"/>
      <c r="CH256" s="21"/>
      <c r="CI256" s="21"/>
      <c r="CJ256" s="21"/>
      <c r="CK256" s="21"/>
      <c r="CL256" s="21"/>
      <c r="CM256" s="21"/>
      <c r="CN256" s="21"/>
      <c r="CO256" s="21"/>
      <c r="CP256" s="21"/>
      <c r="CQ256" s="21"/>
      <c r="CR256" s="21"/>
      <c r="CS256" s="21"/>
      <c r="CT256" s="21"/>
      <c r="CU256" s="21"/>
      <c r="CV256" s="21"/>
      <c r="CW256" s="21"/>
      <c r="CX256" s="21"/>
      <c r="CY256" s="21"/>
      <c r="CZ256" s="21"/>
      <c r="DA256" s="21"/>
      <c r="DB256" s="21"/>
      <c r="DC256" s="21"/>
      <c r="DD256" s="21"/>
      <c r="DE256" s="21"/>
      <c r="DF256" s="21"/>
      <c r="DG256" s="21"/>
      <c r="DH256" s="21"/>
      <c r="DI256" s="21"/>
      <c r="DJ256" s="21"/>
      <c r="DK256" s="21"/>
      <c r="DL256" s="21"/>
      <c r="DM256" s="21"/>
      <c r="DN256" s="21"/>
      <c r="DO256" s="21"/>
      <c r="DP256" s="21"/>
      <c r="DQ256" s="21"/>
      <c r="DR256" s="21"/>
      <c r="DS256" s="21"/>
      <c r="DT256" s="21"/>
      <c r="DU256" s="21"/>
    </row>
    <row r="257" spans="1:125" x14ac:dyDescent="0.2">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c r="AN257" s="21"/>
      <c r="AO257" s="21"/>
      <c r="AP257" s="21"/>
      <c r="AQ257" s="21"/>
      <c r="AR257" s="21"/>
      <c r="AS257" s="21"/>
      <c r="AT257" s="21"/>
      <c r="AU257" s="21"/>
      <c r="AV257" s="21"/>
      <c r="AW257" s="21"/>
      <c r="AX257" s="21"/>
      <c r="AY257" s="21"/>
      <c r="AZ257" s="21"/>
      <c r="BA257" s="21"/>
      <c r="BB257" s="21"/>
      <c r="BC257" s="21"/>
      <c r="BD257" s="21"/>
      <c r="BE257" s="21"/>
      <c r="BF257" s="21"/>
      <c r="BG257" s="21"/>
      <c r="BH257" s="21"/>
      <c r="BI257" s="21"/>
      <c r="BJ257" s="21"/>
      <c r="BK257" s="21"/>
      <c r="BL257" s="21"/>
      <c r="BM257" s="21"/>
      <c r="BN257" s="21"/>
      <c r="BO257" s="21"/>
      <c r="BP257" s="21"/>
      <c r="BQ257" s="21"/>
      <c r="BR257" s="21"/>
      <c r="BS257" s="21"/>
      <c r="BT257" s="21"/>
      <c r="BU257" s="21"/>
      <c r="BV257" s="21"/>
      <c r="BW257" s="21"/>
      <c r="BX257" s="21"/>
      <c r="BY257" s="21"/>
      <c r="BZ257" s="21"/>
      <c r="CA257" s="21"/>
      <c r="CB257" s="21"/>
      <c r="CC257" s="21"/>
      <c r="CD257" s="21"/>
      <c r="CE257" s="21"/>
      <c r="CF257" s="21"/>
      <c r="CG257" s="21"/>
      <c r="CH257" s="21"/>
      <c r="CI257" s="21"/>
      <c r="CJ257" s="21"/>
      <c r="CK257" s="21"/>
      <c r="CL257" s="21"/>
      <c r="CM257" s="21"/>
      <c r="CN257" s="21"/>
      <c r="CO257" s="21"/>
      <c r="CP257" s="21"/>
      <c r="CQ257" s="21"/>
      <c r="CR257" s="21"/>
      <c r="CS257" s="21"/>
      <c r="CT257" s="21"/>
      <c r="CU257" s="21"/>
      <c r="CV257" s="21"/>
      <c r="CW257" s="21"/>
      <c r="CX257" s="21"/>
      <c r="CY257" s="21"/>
      <c r="CZ257" s="21"/>
      <c r="DA257" s="21"/>
      <c r="DB257" s="21"/>
      <c r="DC257" s="21"/>
      <c r="DD257" s="21"/>
      <c r="DE257" s="21"/>
      <c r="DF257" s="21"/>
      <c r="DG257" s="21"/>
      <c r="DH257" s="21"/>
      <c r="DI257" s="21"/>
      <c r="DJ257" s="21"/>
      <c r="DK257" s="21"/>
      <c r="DL257" s="21"/>
      <c r="DM257" s="21"/>
      <c r="DN257" s="21"/>
      <c r="DO257" s="21"/>
      <c r="DP257" s="21"/>
      <c r="DQ257" s="21"/>
      <c r="DR257" s="21"/>
      <c r="DS257" s="21"/>
      <c r="DT257" s="21"/>
      <c r="DU257" s="21"/>
    </row>
    <row r="258" spans="1:125" x14ac:dyDescent="0.2">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c r="AN258" s="21"/>
      <c r="AO258" s="21"/>
      <c r="AP258" s="21"/>
      <c r="AQ258" s="21"/>
      <c r="AR258" s="21"/>
      <c r="AS258" s="21"/>
      <c r="AT258" s="21"/>
      <c r="AU258" s="21"/>
      <c r="AV258" s="21"/>
      <c r="AW258" s="21"/>
      <c r="AX258" s="21"/>
      <c r="AY258" s="21"/>
      <c r="AZ258" s="21"/>
      <c r="BA258" s="21"/>
      <c r="BB258" s="21"/>
      <c r="BC258" s="21"/>
      <c r="BD258" s="21"/>
      <c r="BE258" s="21"/>
      <c r="BF258" s="21"/>
      <c r="BG258" s="21"/>
      <c r="BH258" s="21"/>
      <c r="BI258" s="21"/>
      <c r="BJ258" s="21"/>
      <c r="BK258" s="21"/>
      <c r="BL258" s="21"/>
      <c r="BM258" s="21"/>
      <c r="BN258" s="21"/>
      <c r="BO258" s="21"/>
      <c r="BP258" s="21"/>
      <c r="BQ258" s="21"/>
      <c r="BR258" s="21"/>
      <c r="BS258" s="21"/>
      <c r="BT258" s="21"/>
      <c r="BU258" s="21"/>
      <c r="BV258" s="21"/>
      <c r="BW258" s="21"/>
      <c r="BX258" s="21"/>
      <c r="BY258" s="21"/>
      <c r="BZ258" s="21"/>
      <c r="CA258" s="21"/>
      <c r="CB258" s="21"/>
      <c r="CC258" s="21"/>
      <c r="CD258" s="21"/>
      <c r="CE258" s="21"/>
      <c r="CF258" s="21"/>
      <c r="CG258" s="21"/>
      <c r="CH258" s="21"/>
      <c r="CI258" s="21"/>
      <c r="CJ258" s="21"/>
      <c r="CK258" s="21"/>
      <c r="CL258" s="21"/>
      <c r="CM258" s="21"/>
      <c r="CN258" s="21"/>
      <c r="CO258" s="21"/>
      <c r="CP258" s="21"/>
      <c r="CQ258" s="21"/>
      <c r="CR258" s="21"/>
      <c r="CS258" s="21"/>
      <c r="CT258" s="21"/>
      <c r="CU258" s="21"/>
      <c r="CV258" s="21"/>
      <c r="CW258" s="21"/>
      <c r="CX258" s="21"/>
      <c r="CY258" s="21"/>
      <c r="CZ258" s="21"/>
      <c r="DA258" s="21"/>
      <c r="DB258" s="21"/>
      <c r="DC258" s="21"/>
      <c r="DD258" s="21"/>
      <c r="DE258" s="21"/>
      <c r="DF258" s="21"/>
      <c r="DG258" s="21"/>
      <c r="DH258" s="21"/>
      <c r="DI258" s="21"/>
      <c r="DJ258" s="21"/>
      <c r="DK258" s="21"/>
      <c r="DL258" s="21"/>
      <c r="DM258" s="21"/>
      <c r="DN258" s="21"/>
      <c r="DO258" s="21"/>
      <c r="DP258" s="21"/>
      <c r="DQ258" s="21"/>
      <c r="DR258" s="21"/>
      <c r="DS258" s="21"/>
      <c r="DT258" s="21"/>
      <c r="DU258" s="21"/>
    </row>
    <row r="259" spans="1:125" x14ac:dyDescent="0.2">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c r="AN259" s="21"/>
      <c r="AO259" s="21"/>
      <c r="AP259" s="21"/>
      <c r="AQ259" s="21"/>
      <c r="AR259" s="21"/>
      <c r="AS259" s="21"/>
      <c r="AT259" s="21"/>
      <c r="AU259" s="21"/>
      <c r="AV259" s="21"/>
      <c r="AW259" s="21"/>
      <c r="AX259" s="21"/>
      <c r="AY259" s="21"/>
      <c r="AZ259" s="21"/>
      <c r="BA259" s="21"/>
      <c r="BB259" s="21"/>
      <c r="BC259" s="21"/>
      <c r="BD259" s="21"/>
      <c r="BE259" s="21"/>
      <c r="BF259" s="21"/>
      <c r="BG259" s="21"/>
      <c r="BH259" s="21"/>
      <c r="BI259" s="21"/>
      <c r="BJ259" s="21"/>
      <c r="BK259" s="21"/>
      <c r="BL259" s="21"/>
      <c r="BM259" s="21"/>
      <c r="BN259" s="21"/>
      <c r="BO259" s="21"/>
      <c r="BP259" s="21"/>
      <c r="BQ259" s="21"/>
      <c r="BR259" s="21"/>
      <c r="BS259" s="21"/>
      <c r="BT259" s="21"/>
      <c r="BU259" s="21"/>
      <c r="BV259" s="21"/>
      <c r="BW259" s="21"/>
      <c r="BX259" s="21"/>
      <c r="BY259" s="21"/>
      <c r="BZ259" s="21"/>
      <c r="CA259" s="21"/>
      <c r="CB259" s="21"/>
      <c r="CC259" s="21"/>
      <c r="CD259" s="21"/>
      <c r="CE259" s="21"/>
      <c r="CF259" s="21"/>
      <c r="CG259" s="21"/>
      <c r="CH259" s="21"/>
      <c r="CI259" s="21"/>
      <c r="CJ259" s="21"/>
      <c r="CK259" s="21"/>
      <c r="CL259" s="21"/>
      <c r="CM259" s="21"/>
      <c r="CN259" s="21"/>
      <c r="CO259" s="21"/>
      <c r="CP259" s="21"/>
      <c r="CQ259" s="21"/>
      <c r="CR259" s="21"/>
      <c r="CS259" s="21"/>
      <c r="CT259" s="21"/>
      <c r="CU259" s="21"/>
      <c r="CV259" s="21"/>
      <c r="CW259" s="21"/>
      <c r="CX259" s="21"/>
      <c r="CY259" s="21"/>
      <c r="CZ259" s="21"/>
      <c r="DA259" s="21"/>
      <c r="DB259" s="21"/>
      <c r="DC259" s="21"/>
      <c r="DD259" s="21"/>
      <c r="DE259" s="21"/>
      <c r="DF259" s="21"/>
      <c r="DG259" s="21"/>
      <c r="DH259" s="21"/>
      <c r="DI259" s="21"/>
      <c r="DJ259" s="21"/>
      <c r="DK259" s="21"/>
      <c r="DL259" s="21"/>
      <c r="DM259" s="21"/>
      <c r="DN259" s="21"/>
      <c r="DO259" s="21"/>
      <c r="DP259" s="21"/>
      <c r="DQ259" s="21"/>
      <c r="DR259" s="21"/>
      <c r="DS259" s="21"/>
      <c r="DT259" s="21"/>
      <c r="DU259" s="21"/>
    </row>
    <row r="260" spans="1:125" x14ac:dyDescent="0.2">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c r="AN260" s="21"/>
      <c r="AO260" s="21"/>
      <c r="AP260" s="21"/>
      <c r="AQ260" s="21"/>
      <c r="AR260" s="21"/>
      <c r="AS260" s="21"/>
      <c r="AT260" s="21"/>
      <c r="AU260" s="21"/>
      <c r="AV260" s="21"/>
      <c r="AW260" s="21"/>
      <c r="AX260" s="21"/>
      <c r="AY260" s="21"/>
      <c r="AZ260" s="21"/>
      <c r="BA260" s="21"/>
      <c r="BB260" s="21"/>
      <c r="BC260" s="21"/>
      <c r="BD260" s="21"/>
      <c r="BE260" s="21"/>
      <c r="BF260" s="21"/>
      <c r="BG260" s="21"/>
      <c r="BH260" s="21"/>
      <c r="BI260" s="21"/>
      <c r="BJ260" s="21"/>
      <c r="BK260" s="21"/>
      <c r="BL260" s="21"/>
      <c r="BM260" s="21"/>
      <c r="BN260" s="21"/>
      <c r="BO260" s="21"/>
      <c r="BP260" s="21"/>
      <c r="BQ260" s="21"/>
      <c r="BR260" s="21"/>
      <c r="BS260" s="21"/>
      <c r="BT260" s="21"/>
      <c r="BU260" s="21"/>
      <c r="BV260" s="21"/>
      <c r="BW260" s="21"/>
      <c r="BX260" s="21"/>
      <c r="BY260" s="21"/>
      <c r="BZ260" s="21"/>
      <c r="CA260" s="21"/>
      <c r="CB260" s="21"/>
      <c r="CC260" s="21"/>
      <c r="CD260" s="21"/>
      <c r="CE260" s="21"/>
      <c r="CF260" s="21"/>
      <c r="CG260" s="21"/>
      <c r="CH260" s="21"/>
      <c r="CI260" s="21"/>
      <c r="CJ260" s="21"/>
      <c r="CK260" s="21"/>
      <c r="CL260" s="21"/>
      <c r="CM260" s="21"/>
      <c r="CN260" s="21"/>
      <c r="CO260" s="21"/>
      <c r="CP260" s="21"/>
      <c r="CQ260" s="21"/>
      <c r="CR260" s="21"/>
      <c r="CS260" s="21"/>
      <c r="CT260" s="21"/>
      <c r="CU260" s="21"/>
      <c r="CV260" s="21"/>
      <c r="CW260" s="21"/>
      <c r="CX260" s="21"/>
      <c r="CY260" s="21"/>
      <c r="CZ260" s="21"/>
      <c r="DA260" s="21"/>
      <c r="DB260" s="21"/>
      <c r="DC260" s="21"/>
      <c r="DD260" s="21"/>
      <c r="DE260" s="21"/>
      <c r="DF260" s="21"/>
      <c r="DG260" s="21"/>
      <c r="DH260" s="21"/>
      <c r="DI260" s="21"/>
      <c r="DJ260" s="21"/>
      <c r="DK260" s="21"/>
      <c r="DL260" s="21"/>
      <c r="DM260" s="21"/>
      <c r="DN260" s="21"/>
      <c r="DO260" s="21"/>
      <c r="DP260" s="21"/>
      <c r="DQ260" s="21"/>
      <c r="DR260" s="21"/>
      <c r="DS260" s="21"/>
      <c r="DT260" s="21"/>
      <c r="DU260" s="21"/>
    </row>
    <row r="261" spans="1:125" x14ac:dyDescent="0.2">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c r="AN261" s="21"/>
      <c r="AO261" s="21"/>
      <c r="AP261" s="21"/>
      <c r="AQ261" s="21"/>
      <c r="AR261" s="21"/>
      <c r="AS261" s="21"/>
      <c r="AT261" s="21"/>
      <c r="AU261" s="21"/>
      <c r="AV261" s="21"/>
      <c r="AW261" s="21"/>
      <c r="AX261" s="21"/>
      <c r="AY261" s="21"/>
      <c r="AZ261" s="21"/>
      <c r="BA261" s="21"/>
      <c r="BB261" s="21"/>
      <c r="BC261" s="21"/>
      <c r="BD261" s="21"/>
      <c r="BE261" s="21"/>
      <c r="BF261" s="21"/>
      <c r="BG261" s="21"/>
      <c r="BH261" s="21"/>
      <c r="BI261" s="21"/>
      <c r="BJ261" s="21"/>
      <c r="BK261" s="21"/>
      <c r="BL261" s="21"/>
      <c r="BM261" s="21"/>
      <c r="BN261" s="21"/>
      <c r="BO261" s="21"/>
      <c r="BP261" s="21"/>
      <c r="BQ261" s="21"/>
      <c r="BR261" s="21"/>
      <c r="BS261" s="21"/>
      <c r="BT261" s="21"/>
      <c r="BU261" s="21"/>
      <c r="BV261" s="21"/>
      <c r="BW261" s="21"/>
      <c r="BX261" s="21"/>
      <c r="BY261" s="21"/>
      <c r="BZ261" s="21"/>
      <c r="CA261" s="21"/>
      <c r="CB261" s="21"/>
      <c r="CC261" s="21"/>
      <c r="CD261" s="21"/>
      <c r="CE261" s="21"/>
      <c r="CF261" s="21"/>
      <c r="CG261" s="21"/>
      <c r="CH261" s="21"/>
      <c r="CI261" s="21"/>
      <c r="CJ261" s="21"/>
      <c r="CK261" s="21"/>
      <c r="CL261" s="21"/>
      <c r="CM261" s="21"/>
      <c r="CN261" s="21"/>
      <c r="CO261" s="21"/>
      <c r="CP261" s="21"/>
      <c r="CQ261" s="21"/>
      <c r="CR261" s="21"/>
      <c r="CS261" s="21"/>
      <c r="CT261" s="21"/>
      <c r="CU261" s="21"/>
      <c r="CV261" s="21"/>
      <c r="CW261" s="21"/>
      <c r="CX261" s="21"/>
      <c r="CY261" s="21"/>
      <c r="CZ261" s="21"/>
      <c r="DA261" s="21"/>
      <c r="DB261" s="21"/>
      <c r="DC261" s="21"/>
      <c r="DD261" s="21"/>
      <c r="DE261" s="21"/>
      <c r="DF261" s="21"/>
      <c r="DG261" s="21"/>
      <c r="DH261" s="21"/>
      <c r="DI261" s="21"/>
      <c r="DJ261" s="21"/>
      <c r="DK261" s="21"/>
      <c r="DL261" s="21"/>
      <c r="DM261" s="21"/>
      <c r="DN261" s="21"/>
      <c r="DO261" s="21"/>
      <c r="DP261" s="21"/>
      <c r="DQ261" s="21"/>
      <c r="DR261" s="21"/>
      <c r="DS261" s="21"/>
      <c r="DT261" s="21"/>
      <c r="DU261" s="21"/>
    </row>
    <row r="262" spans="1:125" x14ac:dyDescent="0.2">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c r="AN262" s="21"/>
      <c r="AO262" s="21"/>
      <c r="AP262" s="21"/>
      <c r="AQ262" s="21"/>
      <c r="AR262" s="21"/>
      <c r="AS262" s="21"/>
      <c r="AT262" s="21"/>
      <c r="AU262" s="21"/>
      <c r="AV262" s="21"/>
      <c r="AW262" s="21"/>
      <c r="AX262" s="21"/>
      <c r="AY262" s="21"/>
      <c r="AZ262" s="21"/>
      <c r="BA262" s="21"/>
      <c r="BB262" s="21"/>
      <c r="BC262" s="21"/>
      <c r="BD262" s="21"/>
      <c r="BE262" s="21"/>
      <c r="BF262" s="21"/>
      <c r="BG262" s="21"/>
      <c r="BH262" s="21"/>
      <c r="BI262" s="21"/>
      <c r="BJ262" s="21"/>
      <c r="BK262" s="21"/>
      <c r="BL262" s="21"/>
      <c r="BM262" s="21"/>
      <c r="BN262" s="21"/>
      <c r="BO262" s="21"/>
      <c r="BP262" s="21"/>
      <c r="BQ262" s="21"/>
      <c r="BR262" s="21"/>
      <c r="BS262" s="21"/>
      <c r="BT262" s="21"/>
      <c r="BU262" s="21"/>
      <c r="BV262" s="21"/>
      <c r="BW262" s="21"/>
      <c r="BX262" s="21"/>
      <c r="BY262" s="21"/>
      <c r="BZ262" s="21"/>
      <c r="CA262" s="21"/>
      <c r="CB262" s="21"/>
      <c r="CC262" s="21"/>
      <c r="CD262" s="21"/>
      <c r="CE262" s="21"/>
      <c r="CF262" s="21"/>
      <c r="CG262" s="21"/>
      <c r="CH262" s="21"/>
      <c r="CI262" s="21"/>
      <c r="CJ262" s="21"/>
      <c r="CK262" s="21"/>
      <c r="CL262" s="21"/>
      <c r="CM262" s="21"/>
      <c r="CN262" s="21"/>
      <c r="CO262" s="21"/>
      <c r="CP262" s="21"/>
      <c r="CQ262" s="21"/>
      <c r="CR262" s="21"/>
      <c r="CS262" s="21"/>
      <c r="CT262" s="21"/>
      <c r="CU262" s="21"/>
      <c r="CV262" s="21"/>
      <c r="CW262" s="21"/>
      <c r="CX262" s="21"/>
      <c r="CY262" s="21"/>
      <c r="CZ262" s="21"/>
      <c r="DA262" s="21"/>
      <c r="DB262" s="21"/>
      <c r="DC262" s="21"/>
      <c r="DD262" s="21"/>
      <c r="DE262" s="21"/>
      <c r="DF262" s="21"/>
      <c r="DG262" s="21"/>
      <c r="DH262" s="21"/>
      <c r="DI262" s="21"/>
      <c r="DJ262" s="21"/>
      <c r="DK262" s="21"/>
      <c r="DL262" s="21"/>
      <c r="DM262" s="21"/>
      <c r="DN262" s="21"/>
      <c r="DO262" s="21"/>
      <c r="DP262" s="21"/>
      <c r="DQ262" s="21"/>
      <c r="DR262" s="21"/>
      <c r="DS262" s="21"/>
      <c r="DT262" s="21"/>
      <c r="DU262" s="21"/>
    </row>
    <row r="263" spans="1:125" x14ac:dyDescent="0.2">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c r="AN263" s="21"/>
      <c r="AO263" s="21"/>
      <c r="AP263" s="21"/>
      <c r="AQ263" s="21"/>
      <c r="AR263" s="21"/>
      <c r="AS263" s="21"/>
      <c r="AT263" s="21"/>
      <c r="AU263" s="21"/>
      <c r="AV263" s="21"/>
      <c r="AW263" s="21"/>
      <c r="AX263" s="21"/>
      <c r="AY263" s="21"/>
      <c r="AZ263" s="21"/>
      <c r="BA263" s="21"/>
      <c r="BB263" s="21"/>
      <c r="BC263" s="21"/>
      <c r="BD263" s="21"/>
      <c r="BE263" s="21"/>
      <c r="BF263" s="21"/>
      <c r="BG263" s="21"/>
      <c r="BH263" s="21"/>
      <c r="BI263" s="21"/>
      <c r="BJ263" s="21"/>
      <c r="BK263" s="21"/>
      <c r="BL263" s="21"/>
      <c r="BM263" s="21"/>
      <c r="BN263" s="21"/>
      <c r="BO263" s="21"/>
      <c r="BP263" s="21"/>
      <c r="BQ263" s="21"/>
      <c r="BR263" s="21"/>
      <c r="BS263" s="21"/>
      <c r="BT263" s="21"/>
      <c r="BU263" s="21"/>
      <c r="BV263" s="21"/>
      <c r="BW263" s="21"/>
      <c r="BX263" s="21"/>
      <c r="BY263" s="21"/>
      <c r="BZ263" s="21"/>
      <c r="CA263" s="21"/>
      <c r="CB263" s="21"/>
      <c r="CC263" s="21"/>
      <c r="CD263" s="21"/>
      <c r="CE263" s="21"/>
      <c r="CF263" s="21"/>
      <c r="CG263" s="21"/>
      <c r="CH263" s="21"/>
      <c r="CI263" s="21"/>
      <c r="CJ263" s="21"/>
      <c r="CK263" s="21"/>
      <c r="CL263" s="21"/>
      <c r="CM263" s="21"/>
      <c r="CN263" s="21"/>
      <c r="CO263" s="21"/>
      <c r="CP263" s="21"/>
      <c r="CQ263" s="21"/>
      <c r="CR263" s="21"/>
      <c r="CS263" s="21"/>
      <c r="CT263" s="21"/>
      <c r="CU263" s="21"/>
      <c r="CV263" s="21"/>
      <c r="CW263" s="21"/>
      <c r="CX263" s="21"/>
      <c r="CY263" s="21"/>
      <c r="CZ263" s="21"/>
      <c r="DA263" s="21"/>
      <c r="DB263" s="21"/>
      <c r="DC263" s="21"/>
      <c r="DD263" s="21"/>
      <c r="DE263" s="21"/>
      <c r="DF263" s="21"/>
      <c r="DG263" s="21"/>
      <c r="DH263" s="21"/>
      <c r="DI263" s="21"/>
      <c r="DJ263" s="21"/>
      <c r="DK263" s="21"/>
      <c r="DL263" s="21"/>
      <c r="DM263" s="21"/>
      <c r="DN263" s="21"/>
      <c r="DO263" s="21"/>
      <c r="DP263" s="21"/>
      <c r="DQ263" s="21"/>
      <c r="DR263" s="21"/>
      <c r="DS263" s="21"/>
      <c r="DT263" s="21"/>
      <c r="DU263" s="21"/>
    </row>
    <row r="264" spans="1:125" x14ac:dyDescent="0.2">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c r="AN264" s="21"/>
      <c r="AO264" s="21"/>
      <c r="AP264" s="21"/>
      <c r="AQ264" s="21"/>
      <c r="AR264" s="21"/>
      <c r="AS264" s="21"/>
      <c r="AT264" s="21"/>
      <c r="AU264" s="21"/>
      <c r="AV264" s="21"/>
      <c r="AW264" s="21"/>
      <c r="AX264" s="21"/>
      <c r="AY264" s="21"/>
      <c r="AZ264" s="21"/>
      <c r="BA264" s="21"/>
      <c r="BB264" s="21"/>
      <c r="BC264" s="21"/>
      <c r="BD264" s="21"/>
      <c r="BE264" s="21"/>
      <c r="BF264" s="21"/>
      <c r="BG264" s="21"/>
      <c r="BH264" s="21"/>
      <c r="BI264" s="21"/>
      <c r="BJ264" s="21"/>
      <c r="BK264" s="21"/>
      <c r="BL264" s="21"/>
      <c r="BM264" s="21"/>
      <c r="BN264" s="21"/>
      <c r="BO264" s="21"/>
      <c r="BP264" s="21"/>
      <c r="BQ264" s="21"/>
      <c r="BR264" s="21"/>
      <c r="BS264" s="21"/>
      <c r="BT264" s="21"/>
      <c r="BU264" s="21"/>
      <c r="BV264" s="21"/>
      <c r="BW264" s="21"/>
      <c r="BX264" s="21"/>
      <c r="BY264" s="21"/>
      <c r="BZ264" s="21"/>
      <c r="CA264" s="21"/>
      <c r="CB264" s="21"/>
      <c r="CC264" s="21"/>
      <c r="CD264" s="21"/>
      <c r="CE264" s="21"/>
      <c r="CF264" s="21"/>
      <c r="CG264" s="21"/>
      <c r="CH264" s="21"/>
      <c r="CI264" s="21"/>
      <c r="CJ264" s="21"/>
      <c r="CK264" s="21"/>
      <c r="CL264" s="21"/>
      <c r="CM264" s="21"/>
      <c r="CN264" s="21"/>
      <c r="CO264" s="21"/>
      <c r="CP264" s="21"/>
      <c r="CQ264" s="21"/>
      <c r="CR264" s="21"/>
      <c r="CS264" s="21"/>
      <c r="CT264" s="21"/>
      <c r="CU264" s="21"/>
      <c r="CV264" s="21"/>
      <c r="CW264" s="21"/>
      <c r="CX264" s="21"/>
      <c r="CY264" s="21"/>
      <c r="CZ264" s="21"/>
      <c r="DA264" s="21"/>
      <c r="DB264" s="21"/>
      <c r="DC264" s="21"/>
      <c r="DD264" s="21"/>
      <c r="DE264" s="21"/>
      <c r="DF264" s="21"/>
      <c r="DG264" s="21"/>
      <c r="DH264" s="21"/>
      <c r="DI264" s="21"/>
      <c r="DJ264" s="21"/>
      <c r="DK264" s="21"/>
      <c r="DL264" s="21"/>
      <c r="DM264" s="21"/>
      <c r="DN264" s="21"/>
      <c r="DO264" s="21"/>
      <c r="DP264" s="21"/>
      <c r="DQ264" s="21"/>
      <c r="DR264" s="21"/>
      <c r="DS264" s="21"/>
      <c r="DT264" s="21"/>
      <c r="DU264" s="21"/>
    </row>
    <row r="265" spans="1:125" x14ac:dyDescent="0.2">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c r="AN265" s="21"/>
      <c r="AO265" s="21"/>
      <c r="AP265" s="21"/>
      <c r="AQ265" s="21"/>
      <c r="AR265" s="21"/>
      <c r="AS265" s="21"/>
      <c r="AT265" s="21"/>
      <c r="AU265" s="21"/>
      <c r="AV265" s="21"/>
      <c r="AW265" s="21"/>
      <c r="AX265" s="21"/>
      <c r="AY265" s="21"/>
      <c r="AZ265" s="21"/>
      <c r="BA265" s="21"/>
      <c r="BB265" s="21"/>
      <c r="BC265" s="21"/>
      <c r="BD265" s="21"/>
      <c r="BE265" s="21"/>
      <c r="BF265" s="21"/>
      <c r="BG265" s="21"/>
      <c r="BH265" s="21"/>
      <c r="BI265" s="21"/>
      <c r="BJ265" s="21"/>
      <c r="BK265" s="21"/>
      <c r="BL265" s="21"/>
      <c r="BM265" s="21"/>
      <c r="BN265" s="21"/>
      <c r="BO265" s="21"/>
      <c r="BP265" s="21"/>
      <c r="BQ265" s="21"/>
      <c r="BR265" s="21"/>
      <c r="BS265" s="21"/>
      <c r="BT265" s="21"/>
      <c r="BU265" s="21"/>
      <c r="BV265" s="21"/>
      <c r="BW265" s="21"/>
      <c r="BX265" s="21"/>
      <c r="BY265" s="21"/>
      <c r="BZ265" s="21"/>
      <c r="CA265" s="21"/>
      <c r="CB265" s="21"/>
      <c r="CC265" s="21"/>
      <c r="CD265" s="21"/>
      <c r="CE265" s="21"/>
      <c r="CF265" s="21"/>
      <c r="CG265" s="21"/>
      <c r="CH265" s="21"/>
      <c r="CI265" s="21"/>
      <c r="CJ265" s="21"/>
      <c r="CK265" s="21"/>
      <c r="CL265" s="21"/>
      <c r="CM265" s="21"/>
      <c r="CN265" s="21"/>
      <c r="CO265" s="21"/>
      <c r="CP265" s="21"/>
      <c r="CQ265" s="21"/>
      <c r="CR265" s="21"/>
      <c r="CS265" s="21"/>
      <c r="CT265" s="21"/>
      <c r="CU265" s="21"/>
      <c r="CV265" s="21"/>
      <c r="CW265" s="21"/>
      <c r="CX265" s="21"/>
      <c r="CY265" s="21"/>
      <c r="CZ265" s="21"/>
      <c r="DA265" s="21"/>
      <c r="DB265" s="21"/>
      <c r="DC265" s="21"/>
      <c r="DD265" s="21"/>
      <c r="DE265" s="21"/>
      <c r="DF265" s="21"/>
      <c r="DG265" s="21"/>
      <c r="DH265" s="21"/>
      <c r="DI265" s="21"/>
      <c r="DJ265" s="21"/>
      <c r="DK265" s="21"/>
      <c r="DL265" s="21"/>
      <c r="DM265" s="21"/>
      <c r="DN265" s="21"/>
      <c r="DO265" s="21"/>
      <c r="DP265" s="21"/>
      <c r="DQ265" s="21"/>
      <c r="DR265" s="21"/>
      <c r="DS265" s="21"/>
      <c r="DT265" s="21"/>
      <c r="DU265" s="21"/>
    </row>
    <row r="266" spans="1:125" x14ac:dyDescent="0.2">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c r="AN266" s="21"/>
      <c r="AO266" s="21"/>
      <c r="AP266" s="21"/>
      <c r="AQ266" s="21"/>
      <c r="AR266" s="21"/>
      <c r="AS266" s="21"/>
      <c r="AT266" s="21"/>
      <c r="AU266" s="21"/>
      <c r="AV266" s="21"/>
      <c r="AW266" s="21"/>
      <c r="AX266" s="21"/>
      <c r="AY266" s="21"/>
      <c r="AZ266" s="21"/>
      <c r="BA266" s="21"/>
      <c r="BB266" s="21"/>
      <c r="BC266" s="21"/>
      <c r="BD266" s="21"/>
      <c r="BE266" s="21"/>
      <c r="BF266" s="21"/>
      <c r="BG266" s="21"/>
      <c r="BH266" s="21"/>
      <c r="BI266" s="21"/>
      <c r="BJ266" s="21"/>
      <c r="BK266" s="21"/>
      <c r="BL266" s="21"/>
      <c r="BM266" s="21"/>
      <c r="BN266" s="21"/>
      <c r="BO266" s="21"/>
      <c r="BP266" s="21"/>
      <c r="BQ266" s="21"/>
      <c r="BR266" s="21"/>
      <c r="BS266" s="21"/>
      <c r="BT266" s="21"/>
      <c r="BU266" s="21"/>
      <c r="BV266" s="21"/>
      <c r="BW266" s="21"/>
      <c r="BX266" s="21"/>
      <c r="BY266" s="21"/>
      <c r="BZ266" s="21"/>
      <c r="CA266" s="21"/>
      <c r="CB266" s="21"/>
      <c r="CC266" s="21"/>
      <c r="CD266" s="21"/>
      <c r="CE266" s="21"/>
      <c r="CF266" s="21"/>
      <c r="CG266" s="21"/>
      <c r="CH266" s="21"/>
      <c r="CI266" s="21"/>
      <c r="CJ266" s="21"/>
      <c r="CK266" s="21"/>
      <c r="CL266" s="21"/>
      <c r="CM266" s="21"/>
      <c r="CN266" s="21"/>
      <c r="CO266" s="21"/>
      <c r="CP266" s="21"/>
      <c r="CQ266" s="21"/>
      <c r="CR266" s="21"/>
      <c r="CS266" s="21"/>
      <c r="CT266" s="21"/>
      <c r="CU266" s="21"/>
      <c r="CV266" s="21"/>
      <c r="CW266" s="21"/>
      <c r="CX266" s="21"/>
      <c r="CY266" s="21"/>
      <c r="CZ266" s="21"/>
      <c r="DA266" s="21"/>
      <c r="DB266" s="21"/>
      <c r="DC266" s="21"/>
      <c r="DD266" s="21"/>
      <c r="DE266" s="21"/>
      <c r="DF266" s="21"/>
      <c r="DG266" s="21"/>
      <c r="DH266" s="21"/>
      <c r="DI266" s="21"/>
      <c r="DJ266" s="21"/>
      <c r="DK266" s="21"/>
      <c r="DL266" s="21"/>
      <c r="DM266" s="21"/>
      <c r="DN266" s="21"/>
      <c r="DO266" s="21"/>
      <c r="DP266" s="21"/>
      <c r="DQ266" s="21"/>
      <c r="DR266" s="21"/>
      <c r="DS266" s="21"/>
      <c r="DT266" s="21"/>
      <c r="DU266" s="21"/>
    </row>
    <row r="267" spans="1:125" x14ac:dyDescent="0.2">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c r="AN267" s="21"/>
      <c r="AO267" s="21"/>
      <c r="AP267" s="21"/>
      <c r="AQ267" s="21"/>
      <c r="AR267" s="21"/>
      <c r="AS267" s="21"/>
      <c r="AT267" s="21"/>
      <c r="AU267" s="21"/>
      <c r="AV267" s="21"/>
      <c r="AW267" s="21"/>
      <c r="AX267" s="21"/>
      <c r="AY267" s="21"/>
      <c r="AZ267" s="21"/>
      <c r="BA267" s="21"/>
      <c r="BB267" s="21"/>
      <c r="BC267" s="21"/>
      <c r="BD267" s="21"/>
      <c r="BE267" s="21"/>
      <c r="BF267" s="21"/>
      <c r="BG267" s="21"/>
      <c r="BH267" s="21"/>
      <c r="BI267" s="21"/>
      <c r="BJ267" s="21"/>
      <c r="BK267" s="21"/>
      <c r="BL267" s="21"/>
      <c r="BM267" s="21"/>
      <c r="BN267" s="21"/>
      <c r="BO267" s="21"/>
      <c r="BP267" s="21"/>
      <c r="BQ267" s="21"/>
      <c r="BR267" s="21"/>
      <c r="BS267" s="21"/>
      <c r="BT267" s="21"/>
      <c r="BU267" s="21"/>
      <c r="BV267" s="21"/>
      <c r="BW267" s="21"/>
      <c r="BX267" s="21"/>
      <c r="BY267" s="21"/>
      <c r="BZ267" s="21"/>
      <c r="CA267" s="21"/>
      <c r="CB267" s="21"/>
      <c r="CC267" s="21"/>
      <c r="CD267" s="21"/>
      <c r="CE267" s="21"/>
      <c r="CF267" s="21"/>
      <c r="CG267" s="21"/>
      <c r="CH267" s="21"/>
      <c r="CI267" s="21"/>
      <c r="CJ267" s="21"/>
      <c r="CK267" s="21"/>
      <c r="CL267" s="21"/>
      <c r="CM267" s="21"/>
      <c r="CN267" s="21"/>
      <c r="CO267" s="21"/>
      <c r="CP267" s="21"/>
      <c r="CQ267" s="21"/>
      <c r="CR267" s="21"/>
      <c r="CS267" s="21"/>
      <c r="CT267" s="21"/>
      <c r="CU267" s="21"/>
      <c r="CV267" s="21"/>
      <c r="CW267" s="21"/>
      <c r="CX267" s="21"/>
      <c r="CY267" s="21"/>
      <c r="CZ267" s="21"/>
      <c r="DA267" s="21"/>
      <c r="DB267" s="21"/>
      <c r="DC267" s="21"/>
      <c r="DD267" s="21"/>
      <c r="DE267" s="21"/>
      <c r="DF267" s="21"/>
      <c r="DG267" s="21"/>
      <c r="DH267" s="21"/>
      <c r="DI267" s="21"/>
      <c r="DJ267" s="21"/>
      <c r="DK267" s="21"/>
      <c r="DL267" s="21"/>
      <c r="DM267" s="21"/>
      <c r="DN267" s="21"/>
      <c r="DO267" s="21"/>
      <c r="DP267" s="21"/>
      <c r="DQ267" s="21"/>
      <c r="DR267" s="21"/>
      <c r="DS267" s="21"/>
      <c r="DT267" s="21"/>
      <c r="DU267" s="21"/>
    </row>
    <row r="268" spans="1:125" x14ac:dyDescent="0.2">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c r="AN268" s="21"/>
      <c r="AO268" s="21"/>
      <c r="AP268" s="21"/>
      <c r="AQ268" s="21"/>
      <c r="AR268" s="21"/>
      <c r="AS268" s="21"/>
      <c r="AT268" s="21"/>
      <c r="AU268" s="21"/>
      <c r="AV268" s="21"/>
      <c r="AW268" s="21"/>
      <c r="AX268" s="21"/>
      <c r="AY268" s="21"/>
      <c r="AZ268" s="21"/>
      <c r="BA268" s="21"/>
      <c r="BB268" s="21"/>
      <c r="BC268" s="21"/>
      <c r="BD268" s="21"/>
      <c r="BE268" s="21"/>
      <c r="BF268" s="21"/>
      <c r="BG268" s="21"/>
      <c r="BH268" s="21"/>
      <c r="BI268" s="21"/>
      <c r="BJ268" s="21"/>
      <c r="BK268" s="21"/>
      <c r="BL268" s="21"/>
      <c r="BM268" s="21"/>
      <c r="BN268" s="21"/>
      <c r="BO268" s="21"/>
      <c r="BP268" s="21"/>
      <c r="BQ268" s="21"/>
      <c r="BR268" s="21"/>
      <c r="BS268" s="21"/>
      <c r="BT268" s="21"/>
      <c r="BU268" s="21"/>
      <c r="BV268" s="21"/>
      <c r="BW268" s="21"/>
      <c r="BX268" s="21"/>
      <c r="BY268" s="21"/>
      <c r="BZ268" s="21"/>
      <c r="CA268" s="21"/>
      <c r="CB268" s="21"/>
      <c r="CC268" s="21"/>
      <c r="CD268" s="21"/>
      <c r="CE268" s="21"/>
      <c r="CF268" s="21"/>
      <c r="CG268" s="21"/>
      <c r="CH268" s="21"/>
      <c r="CI268" s="21"/>
      <c r="CJ268" s="21"/>
      <c r="CK268" s="21"/>
      <c r="CL268" s="21"/>
      <c r="CM268" s="21"/>
      <c r="CN268" s="21"/>
      <c r="CO268" s="21"/>
      <c r="CP268" s="21"/>
      <c r="CQ268" s="21"/>
      <c r="CR268" s="21"/>
      <c r="CS268" s="21"/>
      <c r="CT268" s="21"/>
      <c r="CU268" s="21"/>
      <c r="CV268" s="21"/>
      <c r="CW268" s="21"/>
      <c r="CX268" s="21"/>
      <c r="CY268" s="21"/>
      <c r="CZ268" s="21"/>
      <c r="DA268" s="21"/>
      <c r="DB268" s="21"/>
      <c r="DC268" s="21"/>
      <c r="DD268" s="21"/>
      <c r="DE268" s="21"/>
      <c r="DF268" s="21"/>
      <c r="DG268" s="21"/>
      <c r="DH268" s="21"/>
      <c r="DI268" s="21"/>
      <c r="DJ268" s="21"/>
      <c r="DK268" s="21"/>
      <c r="DL268" s="21"/>
      <c r="DM268" s="21"/>
      <c r="DN268" s="21"/>
      <c r="DO268" s="21"/>
      <c r="DP268" s="21"/>
      <c r="DQ268" s="21"/>
      <c r="DR268" s="21"/>
      <c r="DS268" s="21"/>
      <c r="DT268" s="21"/>
      <c r="DU268" s="21"/>
    </row>
    <row r="269" spans="1:125" x14ac:dyDescent="0.2">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c r="AN269" s="21"/>
      <c r="AO269" s="21"/>
      <c r="AP269" s="21"/>
      <c r="AQ269" s="21"/>
      <c r="AR269" s="21"/>
      <c r="AS269" s="21"/>
      <c r="AT269" s="21"/>
      <c r="AU269" s="21"/>
      <c r="AV269" s="21"/>
    </row>
    <row r="270" spans="1:125" x14ac:dyDescent="0.2">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c r="AN270" s="21"/>
      <c r="AO270" s="21"/>
      <c r="AP270" s="21"/>
      <c r="AQ270" s="21"/>
      <c r="AR270" s="21"/>
      <c r="AS270" s="21"/>
      <c r="AT270" s="21"/>
      <c r="AU270" s="21"/>
      <c r="AV270" s="21"/>
    </row>
    <row r="271" spans="1:125" x14ac:dyDescent="0.2">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c r="AN271" s="21"/>
      <c r="AO271" s="21"/>
      <c r="AP271" s="21"/>
      <c r="AQ271" s="21"/>
      <c r="AR271" s="21"/>
      <c r="AS271" s="21"/>
      <c r="AT271" s="21"/>
      <c r="AU271" s="21"/>
      <c r="AV271" s="21"/>
    </row>
    <row r="272" spans="1:125" x14ac:dyDescent="0.2">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c r="AN272" s="21"/>
      <c r="AO272" s="21"/>
      <c r="AP272" s="21"/>
      <c r="AQ272" s="21"/>
      <c r="AR272" s="21"/>
      <c r="AS272" s="21"/>
      <c r="AT272" s="21"/>
      <c r="AU272" s="21"/>
      <c r="AV272" s="21"/>
    </row>
    <row r="273" spans="1:48" x14ac:dyDescent="0.2">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c r="AN273" s="21"/>
      <c r="AO273" s="21"/>
      <c r="AP273" s="21"/>
      <c r="AQ273" s="21"/>
      <c r="AR273" s="21"/>
      <c r="AS273" s="21"/>
      <c r="AT273" s="21"/>
      <c r="AU273" s="21"/>
      <c r="AV273" s="21"/>
    </row>
    <row r="274" spans="1:48" x14ac:dyDescent="0.2">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c r="AN274" s="21"/>
      <c r="AO274" s="21"/>
      <c r="AP274" s="21"/>
      <c r="AQ274" s="21"/>
      <c r="AR274" s="21"/>
      <c r="AS274" s="21"/>
      <c r="AT274" s="21"/>
      <c r="AU274" s="21"/>
      <c r="AV274" s="21"/>
    </row>
    <row r="275" spans="1:48" x14ac:dyDescent="0.2">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c r="AN275" s="21"/>
      <c r="AO275" s="21"/>
      <c r="AP275" s="21"/>
      <c r="AQ275" s="21"/>
      <c r="AR275" s="21"/>
      <c r="AS275" s="21"/>
      <c r="AT275" s="21"/>
      <c r="AU275" s="21"/>
      <c r="AV275" s="21"/>
    </row>
    <row r="276" spans="1:48" x14ac:dyDescent="0.2">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c r="AN276" s="21"/>
      <c r="AO276" s="21"/>
      <c r="AP276" s="21"/>
      <c r="AQ276" s="21"/>
      <c r="AR276" s="21"/>
      <c r="AS276" s="21"/>
      <c r="AT276" s="21"/>
      <c r="AU276" s="21"/>
      <c r="AV276" s="21"/>
    </row>
    <row r="277" spans="1:48" x14ac:dyDescent="0.2">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c r="AN277" s="21"/>
      <c r="AO277" s="21"/>
      <c r="AP277" s="21"/>
      <c r="AQ277" s="21"/>
      <c r="AR277" s="21"/>
      <c r="AS277" s="21"/>
      <c r="AT277" s="21"/>
      <c r="AU277" s="21"/>
      <c r="AV277" s="21"/>
    </row>
    <row r="278" spans="1:48" x14ac:dyDescent="0.2">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c r="AN278" s="21"/>
      <c r="AO278" s="21"/>
      <c r="AP278" s="21"/>
      <c r="AQ278" s="21"/>
      <c r="AR278" s="21"/>
      <c r="AS278" s="21"/>
      <c r="AT278" s="21"/>
      <c r="AU278" s="21"/>
      <c r="AV278" s="21"/>
    </row>
    <row r="279" spans="1:48" x14ac:dyDescent="0.2">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c r="AN279" s="21"/>
      <c r="AO279" s="21"/>
      <c r="AP279" s="21"/>
      <c r="AQ279" s="21"/>
      <c r="AR279" s="21"/>
      <c r="AS279" s="21"/>
      <c r="AT279" s="21"/>
      <c r="AU279" s="21"/>
      <c r="AV279" s="21"/>
    </row>
    <row r="280" spans="1:48" x14ac:dyDescent="0.2">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c r="AN280" s="21"/>
      <c r="AO280" s="21"/>
      <c r="AP280" s="21"/>
      <c r="AQ280" s="21"/>
      <c r="AR280" s="21"/>
      <c r="AS280" s="21"/>
      <c r="AT280" s="21"/>
      <c r="AU280" s="21"/>
      <c r="AV280" s="21"/>
    </row>
    <row r="281" spans="1:48" x14ac:dyDescent="0.2">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c r="AN281" s="21"/>
      <c r="AO281" s="21"/>
      <c r="AP281" s="21"/>
      <c r="AQ281" s="21"/>
      <c r="AR281" s="21"/>
      <c r="AS281" s="21"/>
      <c r="AT281" s="21"/>
      <c r="AU281" s="21"/>
      <c r="AV281" s="21"/>
    </row>
    <row r="282" spans="1:48" x14ac:dyDescent="0.2">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row>
    <row r="283" spans="1:48" x14ac:dyDescent="0.2">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c r="AN283" s="21"/>
      <c r="AO283" s="21"/>
      <c r="AP283" s="21"/>
      <c r="AQ283" s="21"/>
      <c r="AR283" s="21"/>
      <c r="AS283" s="21"/>
      <c r="AT283" s="21"/>
      <c r="AU283" s="21"/>
      <c r="AV283" s="21"/>
    </row>
    <row r="284" spans="1:48" x14ac:dyDescent="0.2">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c r="AN284" s="21"/>
      <c r="AO284" s="21"/>
      <c r="AP284" s="21"/>
      <c r="AQ284" s="21"/>
      <c r="AR284" s="21"/>
      <c r="AS284" s="21"/>
      <c r="AT284" s="21"/>
      <c r="AU284" s="21"/>
      <c r="AV284" s="21"/>
    </row>
    <row r="285" spans="1:48" x14ac:dyDescent="0.2">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c r="AN285" s="21"/>
      <c r="AO285" s="21"/>
      <c r="AP285" s="21"/>
      <c r="AQ285" s="21"/>
      <c r="AR285" s="21"/>
      <c r="AS285" s="21"/>
      <c r="AT285" s="21"/>
      <c r="AU285" s="21"/>
      <c r="AV285" s="21"/>
    </row>
    <row r="286" spans="1:48" x14ac:dyDescent="0.2">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c r="AN286" s="21"/>
      <c r="AO286" s="21"/>
      <c r="AP286" s="21"/>
      <c r="AQ286" s="21"/>
      <c r="AR286" s="21"/>
      <c r="AS286" s="21"/>
      <c r="AT286" s="21"/>
      <c r="AU286" s="21"/>
      <c r="AV286" s="21"/>
    </row>
    <row r="287" spans="1:48" x14ac:dyDescent="0.2">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c r="AN287" s="21"/>
      <c r="AO287" s="21"/>
      <c r="AP287" s="21"/>
      <c r="AQ287" s="21"/>
      <c r="AR287" s="21"/>
      <c r="AS287" s="21"/>
      <c r="AT287" s="21"/>
      <c r="AU287" s="21"/>
      <c r="AV287" s="21"/>
    </row>
    <row r="288" spans="1:48" x14ac:dyDescent="0.2">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c r="AN288" s="21"/>
      <c r="AO288" s="21"/>
      <c r="AP288" s="21"/>
      <c r="AQ288" s="21"/>
      <c r="AR288" s="21"/>
      <c r="AS288" s="21"/>
      <c r="AT288" s="21"/>
      <c r="AU288" s="21"/>
      <c r="AV288" s="21"/>
    </row>
    <row r="289" spans="1:48" x14ac:dyDescent="0.2">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c r="AN289" s="21"/>
      <c r="AO289" s="21"/>
      <c r="AP289" s="21"/>
      <c r="AQ289" s="21"/>
      <c r="AR289" s="21"/>
      <c r="AS289" s="21"/>
      <c r="AT289" s="21"/>
      <c r="AU289" s="21"/>
      <c r="AV289" s="21"/>
    </row>
    <row r="290" spans="1:48" x14ac:dyDescent="0.2">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c r="AN290" s="21"/>
      <c r="AO290" s="21"/>
      <c r="AP290" s="21"/>
      <c r="AQ290" s="21"/>
      <c r="AR290" s="21"/>
      <c r="AS290" s="21"/>
      <c r="AT290" s="21"/>
      <c r="AU290" s="21"/>
      <c r="AV290" s="21"/>
    </row>
    <row r="291" spans="1:48" x14ac:dyDescent="0.2">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c r="AN291" s="21"/>
      <c r="AO291" s="21"/>
      <c r="AP291" s="21"/>
      <c r="AQ291" s="21"/>
      <c r="AR291" s="21"/>
      <c r="AS291" s="21"/>
      <c r="AT291" s="21"/>
      <c r="AU291" s="21"/>
      <c r="AV291" s="21"/>
    </row>
    <row r="292" spans="1:48" x14ac:dyDescent="0.2">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c r="AN292" s="21"/>
      <c r="AO292" s="21"/>
      <c r="AP292" s="21"/>
      <c r="AQ292" s="21"/>
      <c r="AR292" s="21"/>
      <c r="AS292" s="21"/>
      <c r="AT292" s="21"/>
      <c r="AU292" s="21"/>
      <c r="AV292" s="21"/>
    </row>
    <row r="293" spans="1:48" x14ac:dyDescent="0.2">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c r="AN293" s="21"/>
      <c r="AO293" s="21"/>
      <c r="AP293" s="21"/>
      <c r="AQ293" s="21"/>
      <c r="AR293" s="21"/>
      <c r="AS293" s="21"/>
      <c r="AT293" s="21"/>
      <c r="AU293" s="21"/>
      <c r="AV293" s="21"/>
    </row>
    <row r="294" spans="1:48" x14ac:dyDescent="0.2">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c r="AN294" s="21"/>
      <c r="AO294" s="21"/>
      <c r="AP294" s="21"/>
      <c r="AQ294" s="21"/>
      <c r="AR294" s="21"/>
      <c r="AS294" s="21"/>
      <c r="AT294" s="21"/>
      <c r="AU294" s="21"/>
      <c r="AV294" s="21"/>
    </row>
    <row r="295" spans="1:48" x14ac:dyDescent="0.2">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c r="AN295" s="21"/>
      <c r="AO295" s="21"/>
      <c r="AP295" s="21"/>
      <c r="AQ295" s="21"/>
      <c r="AR295" s="21"/>
      <c r="AS295" s="21"/>
      <c r="AT295" s="21"/>
      <c r="AU295" s="21"/>
      <c r="AV295" s="21"/>
    </row>
    <row r="296" spans="1:48" x14ac:dyDescent="0.2">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c r="AN296" s="21"/>
      <c r="AO296" s="21"/>
      <c r="AP296" s="21"/>
      <c r="AQ296" s="21"/>
      <c r="AR296" s="21"/>
      <c r="AS296" s="21"/>
      <c r="AT296" s="21"/>
      <c r="AU296" s="21"/>
      <c r="AV296" s="21"/>
    </row>
    <row r="297" spans="1:48" x14ac:dyDescent="0.2">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c r="AN297" s="21"/>
      <c r="AO297" s="21"/>
      <c r="AP297" s="21"/>
      <c r="AQ297" s="21"/>
      <c r="AR297" s="21"/>
      <c r="AS297" s="21"/>
      <c r="AT297" s="21"/>
      <c r="AU297" s="21"/>
      <c r="AV297" s="21"/>
    </row>
    <row r="298" spans="1:48" x14ac:dyDescent="0.2">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c r="AN298" s="21"/>
      <c r="AO298" s="21"/>
      <c r="AP298" s="21"/>
      <c r="AQ298" s="21"/>
      <c r="AR298" s="21"/>
      <c r="AS298" s="21"/>
      <c r="AT298" s="21"/>
      <c r="AU298" s="21"/>
      <c r="AV298" s="21"/>
    </row>
    <row r="299" spans="1:48" x14ac:dyDescent="0.2">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c r="AN299" s="21"/>
      <c r="AO299" s="21"/>
      <c r="AP299" s="21"/>
      <c r="AQ299" s="21"/>
      <c r="AR299" s="21"/>
      <c r="AS299" s="21"/>
      <c r="AT299" s="21"/>
      <c r="AU299" s="21"/>
      <c r="AV299" s="21"/>
    </row>
    <row r="300" spans="1:48" x14ac:dyDescent="0.2">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c r="AN300" s="21"/>
      <c r="AO300" s="21"/>
      <c r="AP300" s="21"/>
      <c r="AQ300" s="21"/>
      <c r="AR300" s="21"/>
      <c r="AS300" s="21"/>
      <c r="AT300" s="21"/>
      <c r="AU300" s="21"/>
      <c r="AV300" s="21"/>
    </row>
    <row r="301" spans="1:48" x14ac:dyDescent="0.2">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c r="AN301" s="21"/>
      <c r="AO301" s="21"/>
      <c r="AP301" s="21"/>
      <c r="AQ301" s="21"/>
      <c r="AR301" s="21"/>
      <c r="AS301" s="21"/>
      <c r="AT301" s="21"/>
      <c r="AU301" s="21"/>
      <c r="AV301" s="21"/>
    </row>
    <row r="302" spans="1:48" x14ac:dyDescent="0.2">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c r="AN302" s="21"/>
      <c r="AO302" s="21"/>
      <c r="AP302" s="21"/>
      <c r="AQ302" s="21"/>
      <c r="AR302" s="21"/>
      <c r="AS302" s="21"/>
      <c r="AT302" s="21"/>
      <c r="AU302" s="21"/>
      <c r="AV302" s="21"/>
    </row>
    <row r="303" spans="1:48" x14ac:dyDescent="0.2">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c r="AN303" s="21"/>
      <c r="AO303" s="21"/>
      <c r="AP303" s="21"/>
      <c r="AQ303" s="21"/>
      <c r="AR303" s="21"/>
      <c r="AS303" s="21"/>
      <c r="AT303" s="21"/>
      <c r="AU303" s="21"/>
      <c r="AV303" s="21"/>
    </row>
    <row r="304" spans="1:48" x14ac:dyDescent="0.2">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c r="AN304" s="21"/>
      <c r="AO304" s="21"/>
      <c r="AP304" s="21"/>
      <c r="AQ304" s="21"/>
      <c r="AR304" s="21"/>
      <c r="AS304" s="21"/>
      <c r="AT304" s="21"/>
      <c r="AU304" s="21"/>
      <c r="AV304" s="21"/>
    </row>
    <row r="305" spans="1:48" x14ac:dyDescent="0.2">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c r="AN305" s="21"/>
      <c r="AO305" s="21"/>
      <c r="AP305" s="21"/>
      <c r="AQ305" s="21"/>
      <c r="AR305" s="21"/>
      <c r="AS305" s="21"/>
      <c r="AT305" s="21"/>
      <c r="AU305" s="21"/>
      <c r="AV305" s="21"/>
    </row>
    <row r="306" spans="1:48" x14ac:dyDescent="0.2">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c r="AN306" s="21"/>
      <c r="AO306" s="21"/>
      <c r="AP306" s="21"/>
      <c r="AQ306" s="21"/>
      <c r="AR306" s="21"/>
      <c r="AS306" s="21"/>
      <c r="AT306" s="21"/>
      <c r="AU306" s="21"/>
      <c r="AV306" s="21"/>
    </row>
    <row r="307" spans="1:48" x14ac:dyDescent="0.2">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c r="AN307" s="21"/>
      <c r="AO307" s="21"/>
      <c r="AP307" s="21"/>
      <c r="AQ307" s="21"/>
      <c r="AR307" s="21"/>
      <c r="AS307" s="21"/>
      <c r="AT307" s="21"/>
      <c r="AU307" s="21"/>
      <c r="AV307" s="21"/>
    </row>
    <row r="308" spans="1:48" x14ac:dyDescent="0.2">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c r="AN308" s="21"/>
      <c r="AO308" s="21"/>
      <c r="AP308" s="21"/>
      <c r="AQ308" s="21"/>
      <c r="AR308" s="21"/>
      <c r="AS308" s="21"/>
      <c r="AT308" s="21"/>
      <c r="AU308" s="21"/>
      <c r="AV308" s="21"/>
    </row>
    <row r="309" spans="1:48" x14ac:dyDescent="0.2">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c r="AN309" s="21"/>
      <c r="AO309" s="21"/>
      <c r="AP309" s="21"/>
      <c r="AQ309" s="21"/>
      <c r="AR309" s="21"/>
      <c r="AS309" s="21"/>
      <c r="AT309" s="21"/>
      <c r="AU309" s="21"/>
      <c r="AV309" s="21"/>
    </row>
    <row r="310" spans="1:48" x14ac:dyDescent="0.2">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c r="AN310" s="21"/>
      <c r="AO310" s="21"/>
      <c r="AP310" s="21"/>
      <c r="AQ310" s="21"/>
      <c r="AR310" s="21"/>
      <c r="AS310" s="21"/>
      <c r="AT310" s="21"/>
      <c r="AU310" s="21"/>
      <c r="AV310" s="21"/>
    </row>
    <row r="311" spans="1:48" x14ac:dyDescent="0.2">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c r="AN311" s="21"/>
      <c r="AO311" s="21"/>
      <c r="AP311" s="21"/>
      <c r="AQ311" s="21"/>
      <c r="AR311" s="21"/>
      <c r="AS311" s="21"/>
      <c r="AT311" s="21"/>
      <c r="AU311" s="21"/>
      <c r="AV311" s="21"/>
    </row>
    <row r="312" spans="1:48" x14ac:dyDescent="0.2">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row>
    <row r="313" spans="1:48" x14ac:dyDescent="0.2">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c r="AN313" s="21"/>
      <c r="AO313" s="21"/>
      <c r="AP313" s="21"/>
      <c r="AQ313" s="21"/>
      <c r="AR313" s="21"/>
      <c r="AS313" s="21"/>
      <c r="AT313" s="21"/>
      <c r="AU313" s="21"/>
      <c r="AV313" s="21"/>
    </row>
    <row r="314" spans="1:48" x14ac:dyDescent="0.2">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c r="AN314" s="21"/>
      <c r="AO314" s="21"/>
      <c r="AP314" s="21"/>
      <c r="AQ314" s="21"/>
      <c r="AR314" s="21"/>
      <c r="AS314" s="21"/>
      <c r="AT314" s="21"/>
      <c r="AU314" s="21"/>
      <c r="AV314" s="21"/>
    </row>
    <row r="315" spans="1:48" x14ac:dyDescent="0.2">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c r="AN315" s="21"/>
      <c r="AO315" s="21"/>
      <c r="AP315" s="21"/>
      <c r="AQ315" s="21"/>
      <c r="AR315" s="21"/>
      <c r="AS315" s="21"/>
      <c r="AT315" s="21"/>
      <c r="AU315" s="21"/>
      <c r="AV315" s="21"/>
    </row>
    <row r="316" spans="1:48" x14ac:dyDescent="0.2">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c r="AN316" s="21"/>
      <c r="AO316" s="21"/>
      <c r="AP316" s="21"/>
      <c r="AQ316" s="21"/>
      <c r="AR316" s="21"/>
      <c r="AS316" s="21"/>
      <c r="AT316" s="21"/>
      <c r="AU316" s="21"/>
      <c r="AV316" s="21"/>
    </row>
    <row r="317" spans="1:48" x14ac:dyDescent="0.2">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c r="AN317" s="21"/>
      <c r="AO317" s="21"/>
      <c r="AP317" s="21"/>
      <c r="AQ317" s="21"/>
      <c r="AR317" s="21"/>
      <c r="AS317" s="21"/>
      <c r="AT317" s="21"/>
      <c r="AU317" s="21"/>
      <c r="AV317" s="21"/>
    </row>
    <row r="318" spans="1:48" x14ac:dyDescent="0.2">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c r="AN318" s="21"/>
      <c r="AO318" s="21"/>
      <c r="AP318" s="21"/>
      <c r="AQ318" s="21"/>
      <c r="AR318" s="21"/>
      <c r="AS318" s="21"/>
      <c r="AT318" s="21"/>
      <c r="AU318" s="21"/>
      <c r="AV318" s="21"/>
    </row>
    <row r="319" spans="1:48" x14ac:dyDescent="0.2">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c r="AN319" s="21"/>
      <c r="AO319" s="21"/>
      <c r="AP319" s="21"/>
      <c r="AQ319" s="21"/>
      <c r="AR319" s="21"/>
      <c r="AS319" s="21"/>
      <c r="AT319" s="21"/>
      <c r="AU319" s="21"/>
      <c r="AV319" s="21"/>
    </row>
    <row r="320" spans="1:48" x14ac:dyDescent="0.2">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c r="AN320" s="21"/>
      <c r="AO320" s="21"/>
      <c r="AP320" s="21"/>
      <c r="AQ320" s="21"/>
      <c r="AR320" s="21"/>
      <c r="AS320" s="21"/>
      <c r="AT320" s="21"/>
      <c r="AU320" s="21"/>
      <c r="AV320" s="21"/>
    </row>
    <row r="321" spans="1:48" x14ac:dyDescent="0.2">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c r="AN321" s="21"/>
      <c r="AO321" s="21"/>
      <c r="AP321" s="21"/>
      <c r="AQ321" s="21"/>
      <c r="AR321" s="21"/>
      <c r="AS321" s="21"/>
      <c r="AT321" s="21"/>
      <c r="AU321" s="21"/>
      <c r="AV321" s="21"/>
    </row>
    <row r="322" spans="1:48" x14ac:dyDescent="0.2">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c r="AN322" s="21"/>
      <c r="AO322" s="21"/>
      <c r="AP322" s="21"/>
      <c r="AQ322" s="21"/>
      <c r="AR322" s="21"/>
      <c r="AS322" s="21"/>
      <c r="AT322" s="21"/>
      <c r="AU322" s="21"/>
      <c r="AV322" s="21"/>
    </row>
    <row r="323" spans="1:48" x14ac:dyDescent="0.2">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c r="AN323" s="21"/>
      <c r="AO323" s="21"/>
      <c r="AP323" s="21"/>
      <c r="AQ323" s="21"/>
      <c r="AR323" s="21"/>
      <c r="AS323" s="21"/>
      <c r="AT323" s="21"/>
      <c r="AU323" s="21"/>
      <c r="AV323" s="21"/>
    </row>
    <row r="324" spans="1:48" x14ac:dyDescent="0.2">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c r="AN324" s="21"/>
      <c r="AO324" s="21"/>
      <c r="AP324" s="21"/>
      <c r="AQ324" s="21"/>
      <c r="AR324" s="21"/>
      <c r="AS324" s="21"/>
      <c r="AT324" s="21"/>
      <c r="AU324" s="21"/>
      <c r="AV324" s="21"/>
    </row>
    <row r="325" spans="1:48" x14ac:dyDescent="0.2">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c r="AN325" s="21"/>
      <c r="AO325" s="21"/>
      <c r="AP325" s="21"/>
      <c r="AQ325" s="21"/>
      <c r="AR325" s="21"/>
      <c r="AS325" s="21"/>
      <c r="AT325" s="21"/>
      <c r="AU325" s="21"/>
      <c r="AV325" s="21"/>
    </row>
    <row r="326" spans="1:48" x14ac:dyDescent="0.2">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row>
    <row r="327" spans="1:48" x14ac:dyDescent="0.2">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c r="AN327" s="21"/>
      <c r="AO327" s="21"/>
      <c r="AP327" s="21"/>
      <c r="AQ327" s="21"/>
      <c r="AR327" s="21"/>
      <c r="AS327" s="21"/>
      <c r="AT327" s="21"/>
      <c r="AU327" s="21"/>
      <c r="AV327" s="21"/>
    </row>
    <row r="328" spans="1:48" x14ac:dyDescent="0.2">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c r="AN328" s="21"/>
      <c r="AO328" s="21"/>
      <c r="AP328" s="21"/>
      <c r="AQ328" s="21"/>
      <c r="AR328" s="21"/>
      <c r="AS328" s="21"/>
      <c r="AT328" s="21"/>
      <c r="AU328" s="21"/>
      <c r="AV328" s="21"/>
    </row>
    <row r="329" spans="1:48" x14ac:dyDescent="0.2">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c r="AN329" s="21"/>
      <c r="AO329" s="21"/>
      <c r="AP329" s="21"/>
      <c r="AQ329" s="21"/>
      <c r="AR329" s="21"/>
      <c r="AS329" s="21"/>
      <c r="AT329" s="21"/>
      <c r="AU329" s="21"/>
      <c r="AV329" s="21"/>
    </row>
    <row r="330" spans="1:48" x14ac:dyDescent="0.2">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c r="AN330" s="21"/>
      <c r="AO330" s="21"/>
      <c r="AP330" s="21"/>
      <c r="AQ330" s="21"/>
      <c r="AR330" s="21"/>
      <c r="AS330" s="21"/>
      <c r="AT330" s="21"/>
      <c r="AU330" s="21"/>
      <c r="AV330" s="21"/>
    </row>
    <row r="331" spans="1:48" x14ac:dyDescent="0.2">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c r="AN331" s="21"/>
      <c r="AO331" s="21"/>
      <c r="AP331" s="21"/>
      <c r="AQ331" s="21"/>
      <c r="AR331" s="21"/>
      <c r="AS331" s="21"/>
      <c r="AT331" s="21"/>
      <c r="AU331" s="21"/>
      <c r="AV331" s="21"/>
    </row>
    <row r="332" spans="1:48" x14ac:dyDescent="0.2">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c r="AN332" s="21"/>
      <c r="AO332" s="21"/>
      <c r="AP332" s="21"/>
      <c r="AQ332" s="21"/>
      <c r="AR332" s="21"/>
      <c r="AS332" s="21"/>
      <c r="AT332" s="21"/>
      <c r="AU332" s="21"/>
      <c r="AV332" s="21"/>
    </row>
    <row r="333" spans="1:48" x14ac:dyDescent="0.2">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c r="AN333" s="21"/>
      <c r="AO333" s="21"/>
      <c r="AP333" s="21"/>
      <c r="AQ333" s="21"/>
      <c r="AR333" s="21"/>
      <c r="AS333" s="21"/>
      <c r="AT333" s="21"/>
      <c r="AU333" s="21"/>
      <c r="AV333" s="21"/>
    </row>
    <row r="334" spans="1:48" x14ac:dyDescent="0.2">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c r="AN334" s="21"/>
      <c r="AO334" s="21"/>
      <c r="AP334" s="21"/>
      <c r="AQ334" s="21"/>
      <c r="AR334" s="21"/>
      <c r="AS334" s="21"/>
      <c r="AT334" s="21"/>
      <c r="AU334" s="21"/>
      <c r="AV334" s="21"/>
    </row>
    <row r="335" spans="1:48" x14ac:dyDescent="0.2">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c r="AN335" s="21"/>
      <c r="AO335" s="21"/>
      <c r="AP335" s="21"/>
      <c r="AQ335" s="21"/>
      <c r="AR335" s="21"/>
      <c r="AS335" s="21"/>
      <c r="AT335" s="21"/>
      <c r="AU335" s="21"/>
      <c r="AV335" s="21"/>
    </row>
    <row r="336" spans="1:48" x14ac:dyDescent="0.2">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c r="AN336" s="21"/>
      <c r="AO336" s="21"/>
      <c r="AP336" s="21"/>
      <c r="AQ336" s="21"/>
      <c r="AR336" s="21"/>
      <c r="AS336" s="21"/>
      <c r="AT336" s="21"/>
      <c r="AU336" s="21"/>
      <c r="AV336" s="21"/>
    </row>
    <row r="337" spans="1:48" x14ac:dyDescent="0.2">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c r="AN337" s="21"/>
      <c r="AO337" s="21"/>
      <c r="AP337" s="21"/>
      <c r="AQ337" s="21"/>
      <c r="AR337" s="21"/>
      <c r="AS337" s="21"/>
      <c r="AT337" s="21"/>
      <c r="AU337" s="21"/>
      <c r="AV337" s="21"/>
    </row>
    <row r="338" spans="1:48" x14ac:dyDescent="0.2">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c r="AN338" s="21"/>
      <c r="AO338" s="21"/>
      <c r="AP338" s="21"/>
      <c r="AQ338" s="21"/>
      <c r="AR338" s="21"/>
      <c r="AS338" s="21"/>
      <c r="AT338" s="21"/>
      <c r="AU338" s="21"/>
      <c r="AV338" s="21"/>
    </row>
    <row r="339" spans="1:48" x14ac:dyDescent="0.2">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c r="AN339" s="21"/>
      <c r="AO339" s="21"/>
      <c r="AP339" s="21"/>
      <c r="AQ339" s="21"/>
      <c r="AR339" s="21"/>
      <c r="AS339" s="21"/>
      <c r="AT339" s="21"/>
      <c r="AU339" s="21"/>
      <c r="AV339" s="21"/>
    </row>
    <row r="340" spans="1:48" x14ac:dyDescent="0.2">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c r="AN340" s="21"/>
      <c r="AO340" s="21"/>
      <c r="AP340" s="21"/>
      <c r="AQ340" s="21"/>
      <c r="AR340" s="21"/>
      <c r="AS340" s="21"/>
      <c r="AT340" s="21"/>
      <c r="AU340" s="21"/>
      <c r="AV340" s="21"/>
    </row>
    <row r="341" spans="1:48" x14ac:dyDescent="0.2">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c r="AN341" s="21"/>
      <c r="AO341" s="21"/>
      <c r="AP341" s="21"/>
      <c r="AQ341" s="21"/>
      <c r="AR341" s="21"/>
      <c r="AS341" s="21"/>
      <c r="AT341" s="21"/>
      <c r="AU341" s="21"/>
      <c r="AV341" s="21"/>
    </row>
    <row r="342" spans="1:48" x14ac:dyDescent="0.2">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row>
    <row r="343" spans="1:48" x14ac:dyDescent="0.2">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c r="AN343" s="21"/>
      <c r="AO343" s="21"/>
      <c r="AP343" s="21"/>
      <c r="AQ343" s="21"/>
      <c r="AR343" s="21"/>
      <c r="AS343" s="21"/>
      <c r="AT343" s="21"/>
      <c r="AU343" s="21"/>
      <c r="AV343" s="21"/>
    </row>
    <row r="344" spans="1:48" x14ac:dyDescent="0.2">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c r="AN344" s="21"/>
      <c r="AO344" s="21"/>
      <c r="AP344" s="21"/>
      <c r="AQ344" s="21"/>
      <c r="AR344" s="21"/>
      <c r="AS344" s="21"/>
      <c r="AT344" s="21"/>
      <c r="AU344" s="21"/>
      <c r="AV344" s="21"/>
    </row>
    <row r="345" spans="1:48" x14ac:dyDescent="0.2">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c r="AN345" s="21"/>
      <c r="AO345" s="21"/>
      <c r="AP345" s="21"/>
      <c r="AQ345" s="21"/>
      <c r="AR345" s="21"/>
      <c r="AS345" s="21"/>
      <c r="AT345" s="21"/>
      <c r="AU345" s="21"/>
      <c r="AV345" s="21"/>
    </row>
    <row r="346" spans="1:48" x14ac:dyDescent="0.2">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c r="AN346" s="21"/>
      <c r="AO346" s="21"/>
      <c r="AP346" s="21"/>
      <c r="AQ346" s="21"/>
      <c r="AR346" s="21"/>
      <c r="AS346" s="21"/>
      <c r="AT346" s="21"/>
      <c r="AU346" s="21"/>
      <c r="AV346" s="21"/>
    </row>
    <row r="347" spans="1:48" x14ac:dyDescent="0.2">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c r="AN347" s="21"/>
      <c r="AO347" s="21"/>
      <c r="AP347" s="21"/>
      <c r="AQ347" s="21"/>
      <c r="AR347" s="21"/>
      <c r="AS347" s="21"/>
      <c r="AT347" s="21"/>
      <c r="AU347" s="21"/>
      <c r="AV347" s="21"/>
    </row>
    <row r="348" spans="1:48" x14ac:dyDescent="0.2">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c r="AN348" s="21"/>
      <c r="AO348" s="21"/>
      <c r="AP348" s="21"/>
      <c r="AQ348" s="21"/>
      <c r="AR348" s="21"/>
      <c r="AS348" s="21"/>
      <c r="AT348" s="21"/>
      <c r="AU348" s="21"/>
      <c r="AV348" s="21"/>
    </row>
    <row r="349" spans="1:48" x14ac:dyDescent="0.2">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c r="AN349" s="21"/>
      <c r="AO349" s="21"/>
      <c r="AP349" s="21"/>
      <c r="AQ349" s="21"/>
      <c r="AR349" s="21"/>
      <c r="AS349" s="21"/>
      <c r="AT349" s="21"/>
      <c r="AU349" s="21"/>
      <c r="AV349" s="21"/>
    </row>
    <row r="350" spans="1:48" x14ac:dyDescent="0.2">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c r="AN350" s="21"/>
      <c r="AO350" s="21"/>
      <c r="AP350" s="21"/>
      <c r="AQ350" s="21"/>
      <c r="AR350" s="21"/>
      <c r="AS350" s="21"/>
      <c r="AT350" s="21"/>
      <c r="AU350" s="21"/>
      <c r="AV350" s="21"/>
    </row>
    <row r="351" spans="1:48" x14ac:dyDescent="0.2">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c r="AN351" s="21"/>
      <c r="AO351" s="21"/>
      <c r="AP351" s="21"/>
      <c r="AQ351" s="21"/>
      <c r="AR351" s="21"/>
      <c r="AS351" s="21"/>
      <c r="AT351" s="21"/>
      <c r="AU351" s="21"/>
      <c r="AV351" s="21"/>
    </row>
    <row r="352" spans="1:48" x14ac:dyDescent="0.2">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c r="AN352" s="21"/>
      <c r="AO352" s="21"/>
      <c r="AP352" s="21"/>
      <c r="AQ352" s="21"/>
      <c r="AR352" s="21"/>
      <c r="AS352" s="21"/>
      <c r="AT352" s="21"/>
      <c r="AU352" s="21"/>
      <c r="AV352" s="21"/>
    </row>
    <row r="353" spans="1:48" x14ac:dyDescent="0.2">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c r="AN353" s="21"/>
      <c r="AO353" s="21"/>
      <c r="AP353" s="21"/>
      <c r="AQ353" s="21"/>
      <c r="AR353" s="21"/>
      <c r="AS353" s="21"/>
      <c r="AT353" s="21"/>
      <c r="AU353" s="21"/>
      <c r="AV353" s="21"/>
    </row>
    <row r="354" spans="1:48" x14ac:dyDescent="0.2">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c r="AN354" s="21"/>
      <c r="AO354" s="21"/>
      <c r="AP354" s="21"/>
      <c r="AQ354" s="21"/>
      <c r="AR354" s="21"/>
      <c r="AS354" s="21"/>
      <c r="AT354" s="21"/>
      <c r="AU354" s="21"/>
      <c r="AV354" s="21"/>
    </row>
    <row r="355" spans="1:48" x14ac:dyDescent="0.2">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c r="AN355" s="21"/>
      <c r="AO355" s="21"/>
      <c r="AP355" s="21"/>
      <c r="AQ355" s="21"/>
      <c r="AR355" s="21"/>
      <c r="AS355" s="21"/>
      <c r="AT355" s="21"/>
      <c r="AU355" s="21"/>
      <c r="AV355" s="21"/>
    </row>
    <row r="356" spans="1:48" x14ac:dyDescent="0.2">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c r="AN356" s="21"/>
      <c r="AO356" s="21"/>
      <c r="AP356" s="21"/>
      <c r="AQ356" s="21"/>
      <c r="AR356" s="21"/>
      <c r="AS356" s="21"/>
      <c r="AT356" s="21"/>
      <c r="AU356" s="21"/>
      <c r="AV356" s="21"/>
    </row>
    <row r="357" spans="1:48" x14ac:dyDescent="0.2">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c r="AN357" s="21"/>
      <c r="AO357" s="21"/>
      <c r="AP357" s="21"/>
      <c r="AQ357" s="21"/>
      <c r="AR357" s="21"/>
      <c r="AS357" s="21"/>
      <c r="AT357" s="21"/>
      <c r="AU357" s="21"/>
      <c r="AV357" s="21"/>
    </row>
    <row r="358" spans="1:48" x14ac:dyDescent="0.2">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c r="AN358" s="21"/>
      <c r="AO358" s="21"/>
      <c r="AP358" s="21"/>
      <c r="AQ358" s="21"/>
      <c r="AR358" s="21"/>
      <c r="AS358" s="21"/>
      <c r="AT358" s="21"/>
      <c r="AU358" s="21"/>
      <c r="AV358" s="21"/>
    </row>
    <row r="359" spans="1:48" x14ac:dyDescent="0.2">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c r="AN359" s="21"/>
      <c r="AO359" s="21"/>
      <c r="AP359" s="21"/>
      <c r="AQ359" s="21"/>
      <c r="AR359" s="21"/>
      <c r="AS359" s="21"/>
      <c r="AT359" s="21"/>
      <c r="AU359" s="21"/>
      <c r="AV359" s="21"/>
    </row>
    <row r="360" spans="1:48" x14ac:dyDescent="0.2">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c r="AN360" s="21"/>
      <c r="AO360" s="21"/>
      <c r="AP360" s="21"/>
      <c r="AQ360" s="21"/>
      <c r="AR360" s="21"/>
      <c r="AS360" s="21"/>
      <c r="AT360" s="21"/>
      <c r="AU360" s="21"/>
      <c r="AV360" s="21"/>
    </row>
    <row r="361" spans="1:48" x14ac:dyDescent="0.2">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c r="AN361" s="21"/>
      <c r="AO361" s="21"/>
      <c r="AP361" s="21"/>
      <c r="AQ361" s="21"/>
      <c r="AR361" s="21"/>
      <c r="AS361" s="21"/>
      <c r="AT361" s="21"/>
      <c r="AU361" s="21"/>
      <c r="AV361" s="21"/>
    </row>
    <row r="362" spans="1:48" x14ac:dyDescent="0.2">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c r="AN362" s="21"/>
      <c r="AO362" s="21"/>
      <c r="AP362" s="21"/>
      <c r="AQ362" s="21"/>
      <c r="AR362" s="21"/>
      <c r="AS362" s="21"/>
      <c r="AT362" s="21"/>
      <c r="AU362" s="21"/>
      <c r="AV362" s="21"/>
    </row>
    <row r="363" spans="1:48" x14ac:dyDescent="0.2">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c r="AN363" s="21"/>
      <c r="AO363" s="21"/>
      <c r="AP363" s="21"/>
      <c r="AQ363" s="21"/>
      <c r="AR363" s="21"/>
      <c r="AS363" s="21"/>
      <c r="AT363" s="21"/>
      <c r="AU363" s="21"/>
      <c r="AV363" s="21"/>
    </row>
    <row r="364" spans="1:48" x14ac:dyDescent="0.2">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c r="AN364" s="21"/>
      <c r="AO364" s="21"/>
      <c r="AP364" s="21"/>
      <c r="AQ364" s="21"/>
      <c r="AR364" s="21"/>
      <c r="AS364" s="21"/>
      <c r="AT364" s="21"/>
      <c r="AU364" s="21"/>
      <c r="AV364" s="21"/>
    </row>
    <row r="365" spans="1:48" x14ac:dyDescent="0.2">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c r="AN365" s="21"/>
      <c r="AO365" s="21"/>
      <c r="AP365" s="21"/>
      <c r="AQ365" s="21"/>
      <c r="AR365" s="21"/>
      <c r="AS365" s="21"/>
      <c r="AT365" s="21"/>
      <c r="AU365" s="21"/>
      <c r="AV365" s="21"/>
    </row>
    <row r="366" spans="1:48" x14ac:dyDescent="0.2">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c r="AN366" s="21"/>
      <c r="AO366" s="21"/>
      <c r="AP366" s="21"/>
      <c r="AQ366" s="21"/>
      <c r="AR366" s="21"/>
      <c r="AS366" s="21"/>
      <c r="AT366" s="21"/>
      <c r="AU366" s="21"/>
      <c r="AV366" s="21"/>
    </row>
    <row r="367" spans="1:48" x14ac:dyDescent="0.2">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c r="AN367" s="21"/>
      <c r="AO367" s="21"/>
      <c r="AP367" s="21"/>
      <c r="AQ367" s="21"/>
      <c r="AR367" s="21"/>
      <c r="AS367" s="21"/>
      <c r="AT367" s="21"/>
      <c r="AU367" s="21"/>
      <c r="AV367" s="21"/>
    </row>
    <row r="368" spans="1:48" x14ac:dyDescent="0.2">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c r="AN368" s="21"/>
      <c r="AO368" s="21"/>
      <c r="AP368" s="21"/>
      <c r="AQ368" s="21"/>
      <c r="AR368" s="21"/>
      <c r="AS368" s="21"/>
      <c r="AT368" s="21"/>
      <c r="AU368" s="21"/>
      <c r="AV368" s="21"/>
    </row>
    <row r="369" spans="1:48" x14ac:dyDescent="0.2">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c r="AN369" s="21"/>
      <c r="AO369" s="21"/>
      <c r="AP369" s="21"/>
      <c r="AQ369" s="21"/>
      <c r="AR369" s="21"/>
      <c r="AS369" s="21"/>
      <c r="AT369" s="21"/>
      <c r="AU369" s="21"/>
      <c r="AV369" s="21"/>
    </row>
    <row r="370" spans="1:48" x14ac:dyDescent="0.2">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c r="AN370" s="21"/>
      <c r="AO370" s="21"/>
      <c r="AP370" s="21"/>
      <c r="AQ370" s="21"/>
      <c r="AR370" s="21"/>
      <c r="AS370" s="21"/>
      <c r="AT370" s="21"/>
      <c r="AU370" s="21"/>
      <c r="AV370" s="21"/>
    </row>
    <row r="371" spans="1:48" x14ac:dyDescent="0.2">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c r="AN371" s="21"/>
      <c r="AO371" s="21"/>
      <c r="AP371" s="21"/>
      <c r="AQ371" s="21"/>
      <c r="AR371" s="21"/>
      <c r="AS371" s="21"/>
      <c r="AT371" s="21"/>
      <c r="AU371" s="21"/>
      <c r="AV371" s="21"/>
    </row>
    <row r="372" spans="1:48" x14ac:dyDescent="0.2">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row>
    <row r="373" spans="1:48" x14ac:dyDescent="0.2">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c r="AN373" s="21"/>
      <c r="AO373" s="21"/>
      <c r="AP373" s="21"/>
      <c r="AQ373" s="21"/>
      <c r="AR373" s="21"/>
      <c r="AS373" s="21"/>
      <c r="AT373" s="21"/>
      <c r="AU373" s="21"/>
      <c r="AV373" s="21"/>
    </row>
    <row r="374" spans="1:48" x14ac:dyDescent="0.2">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c r="AN374" s="21"/>
      <c r="AO374" s="21"/>
      <c r="AP374" s="21"/>
      <c r="AQ374" s="21"/>
      <c r="AR374" s="21"/>
      <c r="AS374" s="21"/>
      <c r="AT374" s="21"/>
      <c r="AU374" s="21"/>
      <c r="AV374" s="21"/>
    </row>
    <row r="375" spans="1:48" x14ac:dyDescent="0.2">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c r="AN375" s="21"/>
      <c r="AO375" s="21"/>
      <c r="AP375" s="21"/>
      <c r="AQ375" s="21"/>
      <c r="AR375" s="21"/>
      <c r="AS375" s="21"/>
      <c r="AT375" s="21"/>
      <c r="AU375" s="21"/>
      <c r="AV375" s="21"/>
    </row>
    <row r="376" spans="1:48" x14ac:dyDescent="0.2">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c r="AN376" s="21"/>
      <c r="AO376" s="21"/>
      <c r="AP376" s="21"/>
      <c r="AQ376" s="21"/>
      <c r="AR376" s="21"/>
      <c r="AS376" s="21"/>
      <c r="AT376" s="21"/>
      <c r="AU376" s="21"/>
      <c r="AV376" s="21"/>
    </row>
    <row r="377" spans="1:48" x14ac:dyDescent="0.2">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c r="AN377" s="21"/>
      <c r="AO377" s="21"/>
      <c r="AP377" s="21"/>
      <c r="AQ377" s="21"/>
      <c r="AR377" s="21"/>
      <c r="AS377" s="21"/>
      <c r="AT377" s="21"/>
      <c r="AU377" s="21"/>
      <c r="AV377" s="21"/>
    </row>
    <row r="378" spans="1:48" x14ac:dyDescent="0.2">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c r="AN378" s="21"/>
      <c r="AO378" s="21"/>
      <c r="AP378" s="21"/>
      <c r="AQ378" s="21"/>
      <c r="AR378" s="21"/>
      <c r="AS378" s="21"/>
      <c r="AT378" s="21"/>
      <c r="AU378" s="21"/>
      <c r="AV378" s="21"/>
    </row>
    <row r="379" spans="1:48" x14ac:dyDescent="0.2">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c r="AN379" s="21"/>
      <c r="AO379" s="21"/>
      <c r="AP379" s="21"/>
      <c r="AQ379" s="21"/>
      <c r="AR379" s="21"/>
      <c r="AS379" s="21"/>
      <c r="AT379" s="21"/>
      <c r="AU379" s="21"/>
      <c r="AV379" s="21"/>
    </row>
    <row r="380" spans="1:48" x14ac:dyDescent="0.2">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c r="AN380" s="21"/>
      <c r="AO380" s="21"/>
      <c r="AP380" s="21"/>
      <c r="AQ380" s="21"/>
      <c r="AR380" s="21"/>
      <c r="AS380" s="21"/>
      <c r="AT380" s="21"/>
      <c r="AU380" s="21"/>
      <c r="AV380" s="21"/>
    </row>
    <row r="381" spans="1:48" x14ac:dyDescent="0.2">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c r="AN381" s="21"/>
      <c r="AO381" s="21"/>
      <c r="AP381" s="21"/>
      <c r="AQ381" s="21"/>
      <c r="AR381" s="21"/>
      <c r="AS381" s="21"/>
      <c r="AT381" s="21"/>
      <c r="AU381" s="21"/>
      <c r="AV381" s="21"/>
    </row>
    <row r="382" spans="1:48" x14ac:dyDescent="0.2">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c r="AN382" s="21"/>
      <c r="AO382" s="21"/>
      <c r="AP382" s="21"/>
      <c r="AQ382" s="21"/>
      <c r="AR382" s="21"/>
      <c r="AS382" s="21"/>
      <c r="AT382" s="21"/>
      <c r="AU382" s="21"/>
      <c r="AV382" s="21"/>
    </row>
    <row r="383" spans="1:48" x14ac:dyDescent="0.2">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c r="AN383" s="21"/>
      <c r="AO383" s="21"/>
      <c r="AP383" s="21"/>
      <c r="AQ383" s="21"/>
      <c r="AR383" s="21"/>
      <c r="AS383" s="21"/>
      <c r="AT383" s="21"/>
      <c r="AU383" s="21"/>
      <c r="AV383" s="21"/>
    </row>
    <row r="384" spans="1:48" x14ac:dyDescent="0.2">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c r="AN384" s="21"/>
      <c r="AO384" s="21"/>
      <c r="AP384" s="21"/>
      <c r="AQ384" s="21"/>
      <c r="AR384" s="21"/>
      <c r="AS384" s="21"/>
      <c r="AT384" s="21"/>
      <c r="AU384" s="21"/>
      <c r="AV384" s="21"/>
    </row>
    <row r="385" spans="1:48" x14ac:dyDescent="0.2">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c r="AN385" s="21"/>
      <c r="AO385" s="21"/>
      <c r="AP385" s="21"/>
      <c r="AQ385" s="21"/>
      <c r="AR385" s="21"/>
      <c r="AS385" s="21"/>
      <c r="AT385" s="21"/>
      <c r="AU385" s="21"/>
      <c r="AV385" s="21"/>
    </row>
    <row r="386" spans="1:48" x14ac:dyDescent="0.2">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c r="AN386" s="21"/>
      <c r="AO386" s="21"/>
      <c r="AP386" s="21"/>
      <c r="AQ386" s="21"/>
      <c r="AR386" s="21"/>
      <c r="AS386" s="21"/>
      <c r="AT386" s="21"/>
      <c r="AU386" s="21"/>
      <c r="AV386" s="21"/>
    </row>
    <row r="387" spans="1:48" x14ac:dyDescent="0.2">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c r="AN387" s="21"/>
      <c r="AO387" s="21"/>
      <c r="AP387" s="21"/>
      <c r="AQ387" s="21"/>
      <c r="AR387" s="21"/>
      <c r="AS387" s="21"/>
      <c r="AT387" s="21"/>
      <c r="AU387" s="21"/>
      <c r="AV387" s="21"/>
    </row>
    <row r="388" spans="1:48" x14ac:dyDescent="0.2">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c r="AN388" s="21"/>
      <c r="AO388" s="21"/>
      <c r="AP388" s="21"/>
      <c r="AQ388" s="21"/>
      <c r="AR388" s="21"/>
      <c r="AS388" s="21"/>
      <c r="AT388" s="21"/>
      <c r="AU388" s="21"/>
      <c r="AV388" s="21"/>
    </row>
    <row r="389" spans="1:48" x14ac:dyDescent="0.2">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c r="AN389" s="21"/>
      <c r="AO389" s="21"/>
      <c r="AP389" s="21"/>
      <c r="AQ389" s="21"/>
      <c r="AR389" s="21"/>
      <c r="AS389" s="21"/>
      <c r="AT389" s="21"/>
      <c r="AU389" s="21"/>
      <c r="AV389" s="21"/>
    </row>
    <row r="390" spans="1:48" x14ac:dyDescent="0.2">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c r="AN390" s="21"/>
      <c r="AO390" s="21"/>
      <c r="AP390" s="21"/>
      <c r="AQ390" s="21"/>
      <c r="AR390" s="21"/>
      <c r="AS390" s="21"/>
      <c r="AT390" s="21"/>
      <c r="AU390" s="21"/>
      <c r="AV390" s="21"/>
    </row>
    <row r="391" spans="1:48" x14ac:dyDescent="0.2">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c r="AN391" s="21"/>
      <c r="AO391" s="21"/>
      <c r="AP391" s="21"/>
      <c r="AQ391" s="21"/>
      <c r="AR391" s="21"/>
      <c r="AS391" s="21"/>
      <c r="AT391" s="21"/>
      <c r="AU391" s="21"/>
      <c r="AV391" s="21"/>
    </row>
    <row r="392" spans="1:48" x14ac:dyDescent="0.2">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c r="AN392" s="21"/>
      <c r="AO392" s="21"/>
      <c r="AP392" s="21"/>
      <c r="AQ392" s="21"/>
      <c r="AR392" s="21"/>
      <c r="AS392" s="21"/>
      <c r="AT392" s="21"/>
      <c r="AU392" s="21"/>
      <c r="AV392" s="21"/>
    </row>
    <row r="393" spans="1:48" x14ac:dyDescent="0.2">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c r="AN393" s="21"/>
      <c r="AO393" s="21"/>
      <c r="AP393" s="21"/>
      <c r="AQ393" s="21"/>
      <c r="AR393" s="21"/>
      <c r="AS393" s="21"/>
      <c r="AT393" s="21"/>
      <c r="AU393" s="21"/>
      <c r="AV393" s="21"/>
    </row>
    <row r="394" spans="1:48" x14ac:dyDescent="0.2">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c r="AN394" s="21"/>
      <c r="AO394" s="21"/>
      <c r="AP394" s="21"/>
      <c r="AQ394" s="21"/>
      <c r="AR394" s="21"/>
      <c r="AS394" s="21"/>
      <c r="AT394" s="21"/>
      <c r="AU394" s="21"/>
      <c r="AV394" s="21"/>
    </row>
    <row r="395" spans="1:48" x14ac:dyDescent="0.2">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c r="AN395" s="21"/>
      <c r="AO395" s="21"/>
      <c r="AP395" s="21"/>
      <c r="AQ395" s="21"/>
      <c r="AR395" s="21"/>
      <c r="AS395" s="21"/>
      <c r="AT395" s="21"/>
      <c r="AU395" s="21"/>
      <c r="AV395" s="21"/>
    </row>
    <row r="396" spans="1:48" x14ac:dyDescent="0.2">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c r="AN396" s="21"/>
      <c r="AO396" s="21"/>
      <c r="AP396" s="21"/>
      <c r="AQ396" s="21"/>
      <c r="AR396" s="21"/>
      <c r="AS396" s="21"/>
      <c r="AT396" s="21"/>
      <c r="AU396" s="21"/>
      <c r="AV396" s="21"/>
    </row>
    <row r="397" spans="1:48" x14ac:dyDescent="0.2">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c r="AN397" s="21"/>
      <c r="AO397" s="21"/>
      <c r="AP397" s="21"/>
      <c r="AQ397" s="21"/>
      <c r="AR397" s="21"/>
      <c r="AS397" s="21"/>
      <c r="AT397" s="21"/>
      <c r="AU397" s="21"/>
      <c r="AV397" s="21"/>
    </row>
    <row r="398" spans="1:48" x14ac:dyDescent="0.2">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c r="AN398" s="21"/>
      <c r="AO398" s="21"/>
      <c r="AP398" s="21"/>
      <c r="AQ398" s="21"/>
      <c r="AR398" s="21"/>
      <c r="AS398" s="21"/>
      <c r="AT398" s="21"/>
      <c r="AU398" s="21"/>
      <c r="AV398" s="21"/>
    </row>
    <row r="399" spans="1:48" x14ac:dyDescent="0.2">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c r="AN399" s="21"/>
      <c r="AO399" s="21"/>
      <c r="AP399" s="21"/>
      <c r="AQ399" s="21"/>
      <c r="AR399" s="21"/>
      <c r="AS399" s="21"/>
      <c r="AT399" s="21"/>
      <c r="AU399" s="21"/>
      <c r="AV399" s="21"/>
    </row>
    <row r="400" spans="1:48" x14ac:dyDescent="0.2">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c r="AN400" s="21"/>
      <c r="AO400" s="21"/>
      <c r="AP400" s="21"/>
      <c r="AQ400" s="21"/>
      <c r="AR400" s="21"/>
      <c r="AS400" s="21"/>
      <c r="AT400" s="21"/>
      <c r="AU400" s="21"/>
      <c r="AV400" s="21"/>
    </row>
    <row r="401" spans="1:48" x14ac:dyDescent="0.2">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c r="AN401" s="21"/>
      <c r="AO401" s="21"/>
      <c r="AP401" s="21"/>
      <c r="AQ401" s="21"/>
      <c r="AR401" s="21"/>
      <c r="AS401" s="21"/>
      <c r="AT401" s="21"/>
      <c r="AU401" s="21"/>
      <c r="AV401" s="21"/>
    </row>
    <row r="402" spans="1:48" x14ac:dyDescent="0.2">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row>
    <row r="403" spans="1:48" x14ac:dyDescent="0.2">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c r="AN403" s="21"/>
      <c r="AO403" s="21"/>
      <c r="AP403" s="21"/>
      <c r="AQ403" s="21"/>
      <c r="AR403" s="21"/>
      <c r="AS403" s="21"/>
      <c r="AT403" s="21"/>
      <c r="AU403" s="21"/>
      <c r="AV403" s="21"/>
    </row>
    <row r="404" spans="1:48" x14ac:dyDescent="0.2">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c r="AN404" s="21"/>
      <c r="AO404" s="21"/>
      <c r="AP404" s="21"/>
      <c r="AQ404" s="21"/>
      <c r="AR404" s="21"/>
      <c r="AS404" s="21"/>
      <c r="AT404" s="21"/>
      <c r="AU404" s="21"/>
      <c r="AV404" s="21"/>
    </row>
    <row r="405" spans="1:48" x14ac:dyDescent="0.2">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c r="AN405" s="21"/>
      <c r="AO405" s="21"/>
      <c r="AP405" s="21"/>
      <c r="AQ405" s="21"/>
      <c r="AR405" s="21"/>
      <c r="AS405" s="21"/>
      <c r="AT405" s="21"/>
      <c r="AU405" s="21"/>
      <c r="AV405" s="21"/>
    </row>
    <row r="406" spans="1:48" x14ac:dyDescent="0.2">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c r="AN406" s="21"/>
      <c r="AO406" s="21"/>
      <c r="AP406" s="21"/>
      <c r="AQ406" s="21"/>
      <c r="AR406" s="21"/>
      <c r="AS406" s="21"/>
      <c r="AT406" s="21"/>
      <c r="AU406" s="21"/>
      <c r="AV406" s="21"/>
    </row>
    <row r="407" spans="1:48" x14ac:dyDescent="0.2">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c r="AN407" s="21"/>
      <c r="AO407" s="21"/>
      <c r="AP407" s="21"/>
      <c r="AQ407" s="21"/>
      <c r="AR407" s="21"/>
      <c r="AS407" s="21"/>
      <c r="AT407" s="21"/>
      <c r="AU407" s="21"/>
      <c r="AV407" s="21"/>
    </row>
    <row r="408" spans="1:48" x14ac:dyDescent="0.2">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c r="AN408" s="21"/>
      <c r="AO408" s="21"/>
      <c r="AP408" s="21"/>
      <c r="AQ408" s="21"/>
      <c r="AR408" s="21"/>
      <c r="AS408" s="21"/>
      <c r="AT408" s="21"/>
      <c r="AU408" s="21"/>
      <c r="AV408" s="21"/>
    </row>
    <row r="409" spans="1:48" x14ac:dyDescent="0.2">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c r="AN409" s="21"/>
      <c r="AO409" s="21"/>
      <c r="AP409" s="21"/>
      <c r="AQ409" s="21"/>
      <c r="AR409" s="21"/>
      <c r="AS409" s="21"/>
      <c r="AT409" s="21"/>
      <c r="AU409" s="21"/>
      <c r="AV409" s="21"/>
    </row>
    <row r="410" spans="1:48" x14ac:dyDescent="0.2">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c r="AN410" s="21"/>
      <c r="AO410" s="21"/>
      <c r="AP410" s="21"/>
      <c r="AQ410" s="21"/>
      <c r="AR410" s="21"/>
      <c r="AS410" s="21"/>
      <c r="AT410" s="21"/>
      <c r="AU410" s="21"/>
      <c r="AV410" s="21"/>
    </row>
    <row r="411" spans="1:48" x14ac:dyDescent="0.2">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c r="AN411" s="21"/>
      <c r="AO411" s="21"/>
      <c r="AP411" s="21"/>
      <c r="AQ411" s="21"/>
      <c r="AR411" s="21"/>
      <c r="AS411" s="21"/>
      <c r="AT411" s="21"/>
      <c r="AU411" s="21"/>
      <c r="AV411" s="21"/>
    </row>
    <row r="412" spans="1:48" x14ac:dyDescent="0.2">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c r="AN412" s="21"/>
      <c r="AO412" s="21"/>
      <c r="AP412" s="21"/>
      <c r="AQ412" s="21"/>
      <c r="AR412" s="21"/>
      <c r="AS412" s="21"/>
      <c r="AT412" s="21"/>
      <c r="AU412" s="21"/>
      <c r="AV412" s="21"/>
    </row>
    <row r="413" spans="1:48" x14ac:dyDescent="0.2">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c r="AN413" s="21"/>
      <c r="AO413" s="21"/>
      <c r="AP413" s="21"/>
      <c r="AQ413" s="21"/>
      <c r="AR413" s="21"/>
      <c r="AS413" s="21"/>
      <c r="AT413" s="21"/>
      <c r="AU413" s="21"/>
      <c r="AV413" s="21"/>
    </row>
    <row r="414" spans="1:48" x14ac:dyDescent="0.2">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c r="AN414" s="21"/>
      <c r="AO414" s="21"/>
      <c r="AP414" s="21"/>
      <c r="AQ414" s="21"/>
      <c r="AR414" s="21"/>
      <c r="AS414" s="21"/>
      <c r="AT414" s="21"/>
      <c r="AU414" s="21"/>
      <c r="AV414" s="21"/>
    </row>
    <row r="415" spans="1:48" x14ac:dyDescent="0.2">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c r="AN415" s="21"/>
      <c r="AO415" s="21"/>
      <c r="AP415" s="21"/>
      <c r="AQ415" s="21"/>
      <c r="AR415" s="21"/>
      <c r="AS415" s="21"/>
      <c r="AT415" s="21"/>
      <c r="AU415" s="21"/>
      <c r="AV415" s="21"/>
    </row>
    <row r="416" spans="1:48" x14ac:dyDescent="0.2">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c r="AN416" s="21"/>
      <c r="AO416" s="21"/>
      <c r="AP416" s="21"/>
      <c r="AQ416" s="21"/>
      <c r="AR416" s="21"/>
      <c r="AS416" s="21"/>
      <c r="AT416" s="21"/>
      <c r="AU416" s="21"/>
      <c r="AV416" s="21"/>
    </row>
    <row r="417" spans="1:48" x14ac:dyDescent="0.2">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c r="AN417" s="21"/>
      <c r="AO417" s="21"/>
      <c r="AP417" s="21"/>
      <c r="AQ417" s="21"/>
      <c r="AR417" s="21"/>
      <c r="AS417" s="21"/>
      <c r="AT417" s="21"/>
      <c r="AU417" s="21"/>
      <c r="AV417" s="21"/>
    </row>
    <row r="418" spans="1:48" x14ac:dyDescent="0.2">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c r="AN418" s="21"/>
      <c r="AO418" s="21"/>
      <c r="AP418" s="21"/>
      <c r="AQ418" s="21"/>
      <c r="AR418" s="21"/>
      <c r="AS418" s="21"/>
      <c r="AT418" s="21"/>
      <c r="AU418" s="21"/>
      <c r="AV418" s="21"/>
    </row>
    <row r="419" spans="1:48" x14ac:dyDescent="0.2">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c r="AN419" s="21"/>
      <c r="AO419" s="21"/>
      <c r="AP419" s="21"/>
      <c r="AQ419" s="21"/>
      <c r="AR419" s="21"/>
      <c r="AS419" s="21"/>
      <c r="AT419" s="21"/>
      <c r="AU419" s="21"/>
      <c r="AV419" s="21"/>
    </row>
    <row r="420" spans="1:48" x14ac:dyDescent="0.2">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c r="AN420" s="21"/>
      <c r="AO420" s="21"/>
      <c r="AP420" s="21"/>
      <c r="AQ420" s="21"/>
      <c r="AR420" s="21"/>
      <c r="AS420" s="21"/>
      <c r="AT420" s="21"/>
      <c r="AU420" s="21"/>
      <c r="AV420" s="21"/>
    </row>
    <row r="421" spans="1:48" x14ac:dyDescent="0.2">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c r="AN421" s="21"/>
      <c r="AO421" s="21"/>
      <c r="AP421" s="21"/>
      <c r="AQ421" s="21"/>
      <c r="AR421" s="21"/>
      <c r="AS421" s="21"/>
      <c r="AT421" s="21"/>
      <c r="AU421" s="21"/>
      <c r="AV421" s="21"/>
    </row>
    <row r="422" spans="1:48" x14ac:dyDescent="0.2">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c r="AN422" s="21"/>
      <c r="AO422" s="21"/>
      <c r="AP422" s="21"/>
      <c r="AQ422" s="21"/>
      <c r="AR422" s="21"/>
      <c r="AS422" s="21"/>
      <c r="AT422" s="21"/>
      <c r="AU422" s="21"/>
      <c r="AV422" s="21"/>
    </row>
    <row r="423" spans="1:48" x14ac:dyDescent="0.2">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c r="AN423" s="21"/>
      <c r="AO423" s="21"/>
      <c r="AP423" s="21"/>
      <c r="AQ423" s="21"/>
      <c r="AR423" s="21"/>
      <c r="AS423" s="21"/>
      <c r="AT423" s="21"/>
      <c r="AU423" s="21"/>
      <c r="AV423" s="21"/>
    </row>
    <row r="424" spans="1:48" x14ac:dyDescent="0.2">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c r="AN424" s="21"/>
      <c r="AO424" s="21"/>
      <c r="AP424" s="21"/>
      <c r="AQ424" s="21"/>
      <c r="AR424" s="21"/>
      <c r="AS424" s="21"/>
      <c r="AT424" s="21"/>
      <c r="AU424" s="21"/>
      <c r="AV424" s="21"/>
    </row>
    <row r="425" spans="1:48" x14ac:dyDescent="0.2">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c r="AN425" s="21"/>
      <c r="AO425" s="21"/>
      <c r="AP425" s="21"/>
      <c r="AQ425" s="21"/>
      <c r="AR425" s="21"/>
      <c r="AS425" s="21"/>
      <c r="AT425" s="21"/>
      <c r="AU425" s="21"/>
      <c r="AV425" s="21"/>
    </row>
    <row r="426" spans="1:48" x14ac:dyDescent="0.2">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c r="AN426" s="21"/>
      <c r="AO426" s="21"/>
      <c r="AP426" s="21"/>
      <c r="AQ426" s="21"/>
      <c r="AR426" s="21"/>
      <c r="AS426" s="21"/>
      <c r="AT426" s="21"/>
      <c r="AU426" s="21"/>
      <c r="AV426" s="21"/>
    </row>
    <row r="427" spans="1:48" x14ac:dyDescent="0.2">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c r="AN427" s="21"/>
      <c r="AO427" s="21"/>
      <c r="AP427" s="21"/>
      <c r="AQ427" s="21"/>
      <c r="AR427" s="21"/>
      <c r="AS427" s="21"/>
      <c r="AT427" s="21"/>
      <c r="AU427" s="21"/>
      <c r="AV427" s="21"/>
    </row>
    <row r="428" spans="1:48" x14ac:dyDescent="0.2">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c r="AN428" s="21"/>
      <c r="AO428" s="21"/>
      <c r="AP428" s="21"/>
      <c r="AQ428" s="21"/>
      <c r="AR428" s="21"/>
      <c r="AS428" s="21"/>
      <c r="AT428" s="21"/>
      <c r="AU428" s="21"/>
      <c r="AV428" s="21"/>
    </row>
    <row r="429" spans="1:48" x14ac:dyDescent="0.2">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c r="AN429" s="21"/>
      <c r="AO429" s="21"/>
      <c r="AP429" s="21"/>
      <c r="AQ429" s="21"/>
      <c r="AR429" s="21"/>
      <c r="AS429" s="21"/>
      <c r="AT429" s="21"/>
      <c r="AU429" s="21"/>
      <c r="AV429" s="21"/>
    </row>
    <row r="430" spans="1:48" x14ac:dyDescent="0.2">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c r="AN430" s="21"/>
      <c r="AO430" s="21"/>
      <c r="AP430" s="21"/>
      <c r="AQ430" s="21"/>
      <c r="AR430" s="21"/>
      <c r="AS430" s="21"/>
      <c r="AT430" s="21"/>
      <c r="AU430" s="21"/>
      <c r="AV430" s="21"/>
    </row>
    <row r="431" spans="1:48" x14ac:dyDescent="0.2">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c r="AN431" s="21"/>
      <c r="AO431" s="21"/>
      <c r="AP431" s="21"/>
      <c r="AQ431" s="21"/>
      <c r="AR431" s="21"/>
      <c r="AS431" s="21"/>
      <c r="AT431" s="21"/>
      <c r="AU431" s="21"/>
      <c r="AV431" s="21"/>
    </row>
    <row r="432" spans="1:48" x14ac:dyDescent="0.2">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row>
    <row r="433" spans="1:48" x14ac:dyDescent="0.2">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c r="AN433" s="21"/>
      <c r="AO433" s="21"/>
      <c r="AP433" s="21"/>
      <c r="AQ433" s="21"/>
      <c r="AR433" s="21"/>
      <c r="AS433" s="21"/>
      <c r="AT433" s="21"/>
      <c r="AU433" s="21"/>
      <c r="AV433" s="21"/>
    </row>
    <row r="434" spans="1:48" x14ac:dyDescent="0.2">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c r="AN434" s="21"/>
      <c r="AO434" s="21"/>
      <c r="AP434" s="21"/>
      <c r="AQ434" s="21"/>
      <c r="AR434" s="21"/>
      <c r="AS434" s="21"/>
      <c r="AT434" s="21"/>
      <c r="AU434" s="21"/>
      <c r="AV434" s="21"/>
    </row>
    <row r="435" spans="1:48" x14ac:dyDescent="0.2">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c r="AN435" s="21"/>
      <c r="AO435" s="21"/>
      <c r="AP435" s="21"/>
      <c r="AQ435" s="21"/>
      <c r="AR435" s="21"/>
      <c r="AS435" s="21"/>
      <c r="AT435" s="21"/>
      <c r="AU435" s="21"/>
      <c r="AV435" s="21"/>
    </row>
    <row r="436" spans="1:48" x14ac:dyDescent="0.2">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c r="AN436" s="21"/>
      <c r="AO436" s="21"/>
      <c r="AP436" s="21"/>
      <c r="AQ436" s="21"/>
      <c r="AR436" s="21"/>
      <c r="AS436" s="21"/>
      <c r="AT436" s="21"/>
      <c r="AU436" s="21"/>
      <c r="AV436" s="21"/>
    </row>
    <row r="437" spans="1:48" x14ac:dyDescent="0.2">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c r="AN437" s="21"/>
      <c r="AO437" s="21"/>
      <c r="AP437" s="21"/>
      <c r="AQ437" s="21"/>
      <c r="AR437" s="21"/>
      <c r="AS437" s="21"/>
      <c r="AT437" s="21"/>
      <c r="AU437" s="21"/>
      <c r="AV437" s="21"/>
    </row>
    <row r="438" spans="1:48" x14ac:dyDescent="0.2">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c r="AN438" s="21"/>
      <c r="AO438" s="21"/>
      <c r="AP438" s="21"/>
      <c r="AQ438" s="21"/>
      <c r="AR438" s="21"/>
      <c r="AS438" s="21"/>
      <c r="AT438" s="21"/>
      <c r="AU438" s="21"/>
      <c r="AV438" s="21"/>
    </row>
    <row r="439" spans="1:48" x14ac:dyDescent="0.2">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c r="AN439" s="21"/>
      <c r="AO439" s="21"/>
      <c r="AP439" s="21"/>
      <c r="AQ439" s="21"/>
      <c r="AR439" s="21"/>
      <c r="AS439" s="21"/>
      <c r="AT439" s="21"/>
      <c r="AU439" s="21"/>
      <c r="AV439" s="21"/>
    </row>
    <row r="440" spans="1:48" x14ac:dyDescent="0.2">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c r="AN440" s="21"/>
      <c r="AO440" s="21"/>
      <c r="AP440" s="21"/>
      <c r="AQ440" s="21"/>
      <c r="AR440" s="21"/>
      <c r="AS440" s="21"/>
      <c r="AT440" s="21"/>
      <c r="AU440" s="21"/>
      <c r="AV440" s="21"/>
    </row>
    <row r="441" spans="1:48" x14ac:dyDescent="0.2">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c r="AN441" s="21"/>
      <c r="AO441" s="21"/>
      <c r="AP441" s="21"/>
      <c r="AQ441" s="21"/>
      <c r="AR441" s="21"/>
      <c r="AS441" s="21"/>
      <c r="AT441" s="21"/>
      <c r="AU441" s="21"/>
      <c r="AV441" s="21"/>
    </row>
    <row r="442" spans="1:48" x14ac:dyDescent="0.2">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c r="AN442" s="21"/>
      <c r="AO442" s="21"/>
      <c r="AP442" s="21"/>
      <c r="AQ442" s="21"/>
      <c r="AR442" s="21"/>
      <c r="AS442" s="21"/>
      <c r="AT442" s="21"/>
      <c r="AU442" s="21"/>
      <c r="AV442" s="21"/>
    </row>
    <row r="443" spans="1:48" x14ac:dyDescent="0.2">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c r="AN443" s="21"/>
      <c r="AO443" s="21"/>
      <c r="AP443" s="21"/>
      <c r="AQ443" s="21"/>
      <c r="AR443" s="21"/>
      <c r="AS443" s="21"/>
      <c r="AT443" s="21"/>
      <c r="AU443" s="21"/>
      <c r="AV443" s="21"/>
    </row>
    <row r="444" spans="1:48" x14ac:dyDescent="0.2">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c r="AN444" s="21"/>
      <c r="AO444" s="21"/>
      <c r="AP444" s="21"/>
      <c r="AQ444" s="21"/>
      <c r="AR444" s="21"/>
      <c r="AS444" s="21"/>
      <c r="AT444" s="21"/>
      <c r="AU444" s="21"/>
      <c r="AV444" s="21"/>
    </row>
    <row r="445" spans="1:48" x14ac:dyDescent="0.2">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c r="AN445" s="21"/>
      <c r="AO445" s="21"/>
      <c r="AP445" s="21"/>
      <c r="AQ445" s="21"/>
      <c r="AR445" s="21"/>
      <c r="AS445" s="21"/>
      <c r="AT445" s="21"/>
      <c r="AU445" s="21"/>
      <c r="AV445" s="21"/>
    </row>
    <row r="446" spans="1:48" x14ac:dyDescent="0.2">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c r="AN446" s="21"/>
      <c r="AO446" s="21"/>
      <c r="AP446" s="21"/>
      <c r="AQ446" s="21"/>
      <c r="AR446" s="21"/>
      <c r="AS446" s="21"/>
      <c r="AT446" s="21"/>
      <c r="AU446" s="21"/>
      <c r="AV446" s="21"/>
    </row>
    <row r="447" spans="1:48" x14ac:dyDescent="0.2">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c r="AN447" s="21"/>
      <c r="AO447" s="21"/>
      <c r="AP447" s="21"/>
      <c r="AQ447" s="21"/>
      <c r="AR447" s="21"/>
      <c r="AS447" s="21"/>
      <c r="AT447" s="21"/>
      <c r="AU447" s="21"/>
      <c r="AV447" s="21"/>
    </row>
    <row r="448" spans="1:48" x14ac:dyDescent="0.2">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c r="AN448" s="21"/>
      <c r="AO448" s="21"/>
      <c r="AP448" s="21"/>
      <c r="AQ448" s="21"/>
      <c r="AR448" s="21"/>
      <c r="AS448" s="21"/>
      <c r="AT448" s="21"/>
      <c r="AU448" s="21"/>
      <c r="AV448" s="21"/>
    </row>
    <row r="449" spans="1:48" x14ac:dyDescent="0.2">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c r="AN449" s="21"/>
      <c r="AO449" s="21"/>
      <c r="AP449" s="21"/>
      <c r="AQ449" s="21"/>
      <c r="AR449" s="21"/>
      <c r="AS449" s="21"/>
      <c r="AT449" s="21"/>
      <c r="AU449" s="21"/>
      <c r="AV449" s="21"/>
    </row>
    <row r="450" spans="1:48" x14ac:dyDescent="0.2">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c r="AN450" s="21"/>
      <c r="AO450" s="21"/>
      <c r="AP450" s="21"/>
      <c r="AQ450" s="21"/>
      <c r="AR450" s="21"/>
      <c r="AS450" s="21"/>
      <c r="AT450" s="21"/>
      <c r="AU450" s="21"/>
      <c r="AV450" s="21"/>
    </row>
    <row r="451" spans="1:48" x14ac:dyDescent="0.2">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c r="AN451" s="21"/>
      <c r="AO451" s="21"/>
      <c r="AP451" s="21"/>
      <c r="AQ451" s="21"/>
      <c r="AR451" s="21"/>
      <c r="AS451" s="21"/>
      <c r="AT451" s="21"/>
      <c r="AU451" s="21"/>
      <c r="AV451" s="21"/>
    </row>
    <row r="452" spans="1:48" x14ac:dyDescent="0.2">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c r="AN452" s="21"/>
      <c r="AO452" s="21"/>
      <c r="AP452" s="21"/>
      <c r="AQ452" s="21"/>
      <c r="AR452" s="21"/>
      <c r="AS452" s="21"/>
      <c r="AT452" s="21"/>
      <c r="AU452" s="21"/>
      <c r="AV452" s="21"/>
    </row>
    <row r="453" spans="1:48" x14ac:dyDescent="0.2">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c r="AN453" s="21"/>
      <c r="AO453" s="21"/>
      <c r="AP453" s="21"/>
      <c r="AQ453" s="21"/>
      <c r="AR453" s="21"/>
      <c r="AS453" s="21"/>
      <c r="AT453" s="21"/>
      <c r="AU453" s="21"/>
      <c r="AV453" s="21"/>
    </row>
    <row r="454" spans="1:48" x14ac:dyDescent="0.2">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c r="AN454" s="21"/>
      <c r="AO454" s="21"/>
      <c r="AP454" s="21"/>
      <c r="AQ454" s="21"/>
      <c r="AR454" s="21"/>
      <c r="AS454" s="21"/>
      <c r="AT454" s="21"/>
      <c r="AU454" s="21"/>
      <c r="AV454" s="21"/>
    </row>
    <row r="455" spans="1:48" x14ac:dyDescent="0.2">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c r="AN455" s="21"/>
      <c r="AO455" s="21"/>
      <c r="AP455" s="21"/>
      <c r="AQ455" s="21"/>
      <c r="AR455" s="21"/>
      <c r="AS455" s="21"/>
      <c r="AT455" s="21"/>
      <c r="AU455" s="21"/>
      <c r="AV455" s="21"/>
    </row>
    <row r="456" spans="1:48" x14ac:dyDescent="0.2">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c r="AN456" s="21"/>
      <c r="AO456" s="21"/>
      <c r="AP456" s="21"/>
      <c r="AQ456" s="21"/>
      <c r="AR456" s="21"/>
      <c r="AS456" s="21"/>
      <c r="AT456" s="21"/>
      <c r="AU456" s="21"/>
      <c r="AV456" s="21"/>
    </row>
    <row r="457" spans="1:48" x14ac:dyDescent="0.2">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c r="AN457" s="21"/>
      <c r="AO457" s="21"/>
      <c r="AP457" s="21"/>
      <c r="AQ457" s="21"/>
      <c r="AR457" s="21"/>
      <c r="AS457" s="21"/>
      <c r="AT457" s="21"/>
      <c r="AU457" s="21"/>
      <c r="AV457" s="21"/>
    </row>
    <row r="458" spans="1:48" x14ac:dyDescent="0.2">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c r="AN458" s="21"/>
      <c r="AO458" s="21"/>
      <c r="AP458" s="21"/>
      <c r="AQ458" s="21"/>
      <c r="AR458" s="21"/>
      <c r="AS458" s="21"/>
      <c r="AT458" s="21"/>
      <c r="AU458" s="21"/>
      <c r="AV458" s="21"/>
    </row>
    <row r="459" spans="1:48" x14ac:dyDescent="0.2">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c r="AN459" s="21"/>
      <c r="AO459" s="21"/>
      <c r="AP459" s="21"/>
      <c r="AQ459" s="21"/>
      <c r="AR459" s="21"/>
      <c r="AS459" s="21"/>
      <c r="AT459" s="21"/>
      <c r="AU459" s="21"/>
      <c r="AV459" s="21"/>
    </row>
    <row r="460" spans="1:48" x14ac:dyDescent="0.2">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c r="AN460" s="21"/>
      <c r="AO460" s="21"/>
      <c r="AP460" s="21"/>
      <c r="AQ460" s="21"/>
      <c r="AR460" s="21"/>
      <c r="AS460" s="21"/>
      <c r="AT460" s="21"/>
      <c r="AU460" s="21"/>
      <c r="AV460" s="21"/>
    </row>
    <row r="461" spans="1:48" x14ac:dyDescent="0.2">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c r="AN461" s="21"/>
      <c r="AO461" s="21"/>
      <c r="AP461" s="21"/>
      <c r="AQ461" s="21"/>
      <c r="AR461" s="21"/>
      <c r="AS461" s="21"/>
      <c r="AT461" s="21"/>
      <c r="AU461" s="21"/>
      <c r="AV461" s="21"/>
    </row>
    <row r="462" spans="1:48" x14ac:dyDescent="0.2">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row>
    <row r="463" spans="1:48" x14ac:dyDescent="0.2">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c r="AN463" s="21"/>
      <c r="AO463" s="21"/>
      <c r="AP463" s="21"/>
      <c r="AQ463" s="21"/>
      <c r="AR463" s="21"/>
      <c r="AS463" s="21"/>
      <c r="AT463" s="21"/>
      <c r="AU463" s="21"/>
      <c r="AV463" s="21"/>
    </row>
    <row r="464" spans="1:48" x14ac:dyDescent="0.2">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c r="AN464" s="21"/>
      <c r="AO464" s="21"/>
      <c r="AP464" s="21"/>
      <c r="AQ464" s="21"/>
      <c r="AR464" s="21"/>
      <c r="AS464" s="21"/>
      <c r="AT464" s="21"/>
      <c r="AU464" s="21"/>
      <c r="AV464" s="21"/>
    </row>
    <row r="465" spans="1:48" x14ac:dyDescent="0.2">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c r="AN465" s="21"/>
      <c r="AO465" s="21"/>
      <c r="AP465" s="21"/>
      <c r="AQ465" s="21"/>
      <c r="AR465" s="21"/>
      <c r="AS465" s="21"/>
      <c r="AT465" s="21"/>
      <c r="AU465" s="21"/>
      <c r="AV465" s="21"/>
    </row>
    <row r="466" spans="1:48" x14ac:dyDescent="0.2">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c r="AN466" s="21"/>
      <c r="AO466" s="21"/>
      <c r="AP466" s="21"/>
      <c r="AQ466" s="21"/>
      <c r="AR466" s="21"/>
      <c r="AS466" s="21"/>
      <c r="AT466" s="21"/>
      <c r="AU466" s="21"/>
      <c r="AV466" s="21"/>
    </row>
    <row r="467" spans="1:48" x14ac:dyDescent="0.2">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c r="AN467" s="21"/>
      <c r="AO467" s="21"/>
      <c r="AP467" s="21"/>
      <c r="AQ467" s="21"/>
      <c r="AR467" s="21"/>
      <c r="AS467" s="21"/>
      <c r="AT467" s="21"/>
      <c r="AU467" s="21"/>
      <c r="AV467" s="21"/>
    </row>
    <row r="468" spans="1:48" x14ac:dyDescent="0.2">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c r="AN468" s="21"/>
      <c r="AO468" s="21"/>
      <c r="AP468" s="21"/>
      <c r="AQ468" s="21"/>
      <c r="AR468" s="21"/>
      <c r="AS468" s="21"/>
      <c r="AT468" s="21"/>
      <c r="AU468" s="21"/>
      <c r="AV468" s="21"/>
    </row>
    <row r="469" spans="1:48" x14ac:dyDescent="0.2">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c r="AN469" s="21"/>
      <c r="AO469" s="21"/>
      <c r="AP469" s="21"/>
      <c r="AQ469" s="21"/>
      <c r="AR469" s="21"/>
      <c r="AS469" s="21"/>
      <c r="AT469" s="21"/>
      <c r="AU469" s="21"/>
      <c r="AV469" s="21"/>
    </row>
    <row r="470" spans="1:48" x14ac:dyDescent="0.2">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c r="AN470" s="21"/>
      <c r="AO470" s="21"/>
      <c r="AP470" s="21"/>
      <c r="AQ470" s="21"/>
      <c r="AR470" s="21"/>
      <c r="AS470" s="21"/>
      <c r="AT470" s="21"/>
      <c r="AU470" s="21"/>
      <c r="AV470" s="21"/>
    </row>
    <row r="471" spans="1:48" x14ac:dyDescent="0.2">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c r="AN471" s="21"/>
      <c r="AO471" s="21"/>
      <c r="AP471" s="21"/>
      <c r="AQ471" s="21"/>
      <c r="AR471" s="21"/>
      <c r="AS471" s="21"/>
      <c r="AT471" s="21"/>
      <c r="AU471" s="21"/>
      <c r="AV471" s="21"/>
    </row>
    <row r="472" spans="1:48" x14ac:dyDescent="0.2">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c r="AN472" s="21"/>
      <c r="AO472" s="21"/>
      <c r="AP472" s="21"/>
      <c r="AQ472" s="21"/>
      <c r="AR472" s="21"/>
      <c r="AS472" s="21"/>
      <c r="AT472" s="21"/>
      <c r="AU472" s="21"/>
      <c r="AV472" s="21"/>
    </row>
    <row r="473" spans="1:48" x14ac:dyDescent="0.2">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c r="AN473" s="21"/>
      <c r="AO473" s="21"/>
      <c r="AP473" s="21"/>
      <c r="AQ473" s="21"/>
      <c r="AR473" s="21"/>
      <c r="AS473" s="21"/>
      <c r="AT473" s="21"/>
      <c r="AU473" s="21"/>
      <c r="AV473" s="21"/>
    </row>
    <row r="474" spans="1:48" x14ac:dyDescent="0.2">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c r="AN474" s="21"/>
      <c r="AO474" s="21"/>
      <c r="AP474" s="21"/>
      <c r="AQ474" s="21"/>
      <c r="AR474" s="21"/>
      <c r="AS474" s="21"/>
      <c r="AT474" s="21"/>
      <c r="AU474" s="21"/>
      <c r="AV474" s="21"/>
    </row>
    <row r="475" spans="1:48" x14ac:dyDescent="0.2">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c r="AN475" s="21"/>
      <c r="AO475" s="21"/>
      <c r="AP475" s="21"/>
      <c r="AQ475" s="21"/>
      <c r="AR475" s="21"/>
      <c r="AS475" s="21"/>
      <c r="AT475" s="21"/>
      <c r="AU475" s="21"/>
      <c r="AV475" s="21"/>
    </row>
    <row r="476" spans="1:48" x14ac:dyDescent="0.2">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c r="AN476" s="21"/>
      <c r="AO476" s="21"/>
      <c r="AP476" s="21"/>
      <c r="AQ476" s="21"/>
      <c r="AR476" s="21"/>
      <c r="AS476" s="21"/>
      <c r="AT476" s="21"/>
      <c r="AU476" s="21"/>
      <c r="AV476" s="21"/>
    </row>
    <row r="477" spans="1:48" x14ac:dyDescent="0.2">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c r="AN477" s="21"/>
      <c r="AO477" s="21"/>
      <c r="AP477" s="21"/>
      <c r="AQ477" s="21"/>
      <c r="AR477" s="21"/>
      <c r="AS477" s="21"/>
      <c r="AT477" s="21"/>
      <c r="AU477" s="21"/>
      <c r="AV477" s="21"/>
    </row>
    <row r="478" spans="1:48" x14ac:dyDescent="0.2">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c r="AN478" s="21"/>
      <c r="AO478" s="21"/>
      <c r="AP478" s="21"/>
      <c r="AQ478" s="21"/>
      <c r="AR478" s="21"/>
      <c r="AS478" s="21"/>
      <c r="AT478" s="21"/>
      <c r="AU478" s="21"/>
      <c r="AV478" s="21"/>
    </row>
    <row r="479" spans="1:48" x14ac:dyDescent="0.2">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c r="AN479" s="21"/>
      <c r="AO479" s="21"/>
      <c r="AP479" s="21"/>
      <c r="AQ479" s="21"/>
      <c r="AR479" s="21"/>
      <c r="AS479" s="21"/>
      <c r="AT479" s="21"/>
      <c r="AU479" s="21"/>
      <c r="AV479" s="21"/>
    </row>
    <row r="480" spans="1:48" x14ac:dyDescent="0.2">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c r="AN480" s="21"/>
      <c r="AO480" s="21"/>
      <c r="AP480" s="21"/>
      <c r="AQ480" s="21"/>
      <c r="AR480" s="21"/>
      <c r="AS480" s="21"/>
      <c r="AT480" s="21"/>
      <c r="AU480" s="21"/>
      <c r="AV480" s="21"/>
    </row>
    <row r="481" spans="1:48" x14ac:dyDescent="0.2">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c r="AN481" s="21"/>
      <c r="AO481" s="21"/>
      <c r="AP481" s="21"/>
      <c r="AQ481" s="21"/>
      <c r="AR481" s="21"/>
      <c r="AS481" s="21"/>
      <c r="AT481" s="21"/>
      <c r="AU481" s="21"/>
      <c r="AV481" s="21"/>
    </row>
    <row r="482" spans="1:48" x14ac:dyDescent="0.2">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c r="AN482" s="21"/>
      <c r="AO482" s="21"/>
      <c r="AP482" s="21"/>
      <c r="AQ482" s="21"/>
      <c r="AR482" s="21"/>
      <c r="AS482" s="21"/>
      <c r="AT482" s="21"/>
      <c r="AU482" s="21"/>
      <c r="AV482" s="21"/>
    </row>
    <row r="483" spans="1:48" x14ac:dyDescent="0.2">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c r="AN483" s="21"/>
      <c r="AO483" s="21"/>
      <c r="AP483" s="21"/>
      <c r="AQ483" s="21"/>
      <c r="AR483" s="21"/>
      <c r="AS483" s="21"/>
      <c r="AT483" s="21"/>
      <c r="AU483" s="21"/>
      <c r="AV483" s="21"/>
    </row>
    <row r="484" spans="1:48" x14ac:dyDescent="0.2">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c r="AN484" s="21"/>
      <c r="AO484" s="21"/>
      <c r="AP484" s="21"/>
      <c r="AQ484" s="21"/>
      <c r="AR484" s="21"/>
      <c r="AS484" s="21"/>
      <c r="AT484" s="21"/>
      <c r="AU484" s="21"/>
      <c r="AV484" s="21"/>
    </row>
    <row r="485" spans="1:48" x14ac:dyDescent="0.2">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c r="AN485" s="21"/>
      <c r="AO485" s="21"/>
      <c r="AP485" s="21"/>
      <c r="AQ485" s="21"/>
      <c r="AR485" s="21"/>
      <c r="AS485" s="21"/>
      <c r="AT485" s="21"/>
      <c r="AU485" s="21"/>
      <c r="AV485" s="21"/>
    </row>
    <row r="486" spans="1:48" x14ac:dyDescent="0.2">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c r="AN486" s="21"/>
      <c r="AO486" s="21"/>
      <c r="AP486" s="21"/>
      <c r="AQ486" s="21"/>
      <c r="AR486" s="21"/>
      <c r="AS486" s="21"/>
      <c r="AT486" s="21"/>
      <c r="AU486" s="21"/>
      <c r="AV486" s="21"/>
    </row>
    <row r="487" spans="1:48" x14ac:dyDescent="0.2">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c r="AN487" s="21"/>
      <c r="AO487" s="21"/>
      <c r="AP487" s="21"/>
      <c r="AQ487" s="21"/>
      <c r="AR487" s="21"/>
      <c r="AS487" s="21"/>
      <c r="AT487" s="21"/>
      <c r="AU487" s="21"/>
      <c r="AV487" s="21"/>
    </row>
    <row r="488" spans="1:48" x14ac:dyDescent="0.2">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c r="AN488" s="21"/>
      <c r="AO488" s="21"/>
      <c r="AP488" s="21"/>
      <c r="AQ488" s="21"/>
      <c r="AR488" s="21"/>
      <c r="AS488" s="21"/>
      <c r="AT488" s="21"/>
      <c r="AU488" s="21"/>
      <c r="AV488" s="21"/>
    </row>
    <row r="489" spans="1:48" x14ac:dyDescent="0.2">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c r="AN489" s="21"/>
      <c r="AO489" s="21"/>
      <c r="AP489" s="21"/>
      <c r="AQ489" s="21"/>
      <c r="AR489" s="21"/>
      <c r="AS489" s="21"/>
      <c r="AT489" s="21"/>
      <c r="AU489" s="21"/>
      <c r="AV489" s="21"/>
    </row>
    <row r="490" spans="1:48" x14ac:dyDescent="0.2">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c r="AN490" s="21"/>
      <c r="AO490" s="21"/>
      <c r="AP490" s="21"/>
      <c r="AQ490" s="21"/>
      <c r="AR490" s="21"/>
      <c r="AS490" s="21"/>
      <c r="AT490" s="21"/>
      <c r="AU490" s="21"/>
      <c r="AV490" s="21"/>
    </row>
    <row r="491" spans="1:48" x14ac:dyDescent="0.2">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c r="AN491" s="21"/>
      <c r="AO491" s="21"/>
      <c r="AP491" s="21"/>
      <c r="AQ491" s="21"/>
      <c r="AR491" s="21"/>
      <c r="AS491" s="21"/>
      <c r="AT491" s="21"/>
      <c r="AU491" s="21"/>
      <c r="AV491" s="21"/>
    </row>
    <row r="492" spans="1:48" x14ac:dyDescent="0.2">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row>
    <row r="493" spans="1:48" x14ac:dyDescent="0.2">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c r="AN493" s="21"/>
      <c r="AO493" s="21"/>
      <c r="AP493" s="21"/>
      <c r="AQ493" s="21"/>
      <c r="AR493" s="21"/>
      <c r="AS493" s="21"/>
      <c r="AT493" s="21"/>
      <c r="AU493" s="21"/>
      <c r="AV493" s="21"/>
    </row>
    <row r="494" spans="1:48" x14ac:dyDescent="0.2">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c r="AN494" s="21"/>
      <c r="AO494" s="21"/>
      <c r="AP494" s="21"/>
      <c r="AQ494" s="21"/>
      <c r="AR494" s="21"/>
      <c r="AS494" s="21"/>
      <c r="AT494" s="21"/>
      <c r="AU494" s="21"/>
      <c r="AV494" s="21"/>
    </row>
    <row r="495" spans="1:48" x14ac:dyDescent="0.2">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c r="AN495" s="21"/>
      <c r="AO495" s="21"/>
      <c r="AP495" s="21"/>
      <c r="AQ495" s="21"/>
      <c r="AR495" s="21"/>
      <c r="AS495" s="21"/>
      <c r="AT495" s="21"/>
      <c r="AU495" s="21"/>
      <c r="AV495" s="21"/>
    </row>
    <row r="496" spans="1:48" x14ac:dyDescent="0.2">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c r="AN496" s="21"/>
      <c r="AO496" s="21"/>
      <c r="AP496" s="21"/>
      <c r="AQ496" s="21"/>
      <c r="AR496" s="21"/>
      <c r="AS496" s="21"/>
      <c r="AT496" s="21"/>
      <c r="AU496" s="21"/>
      <c r="AV496" s="21"/>
    </row>
    <row r="497" spans="1:48" x14ac:dyDescent="0.2">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c r="AN497" s="21"/>
      <c r="AO497" s="21"/>
      <c r="AP497" s="21"/>
      <c r="AQ497" s="21"/>
      <c r="AR497" s="21"/>
      <c r="AS497" s="21"/>
      <c r="AT497" s="21"/>
      <c r="AU497" s="21"/>
      <c r="AV497" s="21"/>
    </row>
    <row r="498" spans="1:48" x14ac:dyDescent="0.2">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c r="AN498" s="21"/>
      <c r="AO498" s="21"/>
      <c r="AP498" s="21"/>
      <c r="AQ498" s="21"/>
      <c r="AR498" s="21"/>
      <c r="AS498" s="21"/>
      <c r="AT498" s="21"/>
      <c r="AU498" s="21"/>
      <c r="AV498" s="21"/>
    </row>
    <row r="499" spans="1:48" x14ac:dyDescent="0.2">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c r="AN499" s="21"/>
      <c r="AO499" s="21"/>
      <c r="AP499" s="21"/>
      <c r="AQ499" s="21"/>
      <c r="AR499" s="21"/>
      <c r="AS499" s="21"/>
      <c r="AT499" s="21"/>
      <c r="AU499" s="21"/>
      <c r="AV499" s="21"/>
    </row>
    <row r="500" spans="1:48" x14ac:dyDescent="0.2">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c r="AN500" s="21"/>
      <c r="AO500" s="21"/>
      <c r="AP500" s="21"/>
      <c r="AQ500" s="21"/>
      <c r="AR500" s="21"/>
      <c r="AS500" s="21"/>
      <c r="AT500" s="21"/>
      <c r="AU500" s="21"/>
      <c r="AV500" s="21"/>
    </row>
    <row r="501" spans="1:48" x14ac:dyDescent="0.2">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c r="AN501" s="21"/>
      <c r="AO501" s="21"/>
      <c r="AP501" s="21"/>
      <c r="AQ501" s="21"/>
      <c r="AR501" s="21"/>
      <c r="AS501" s="21"/>
      <c r="AT501" s="21"/>
      <c r="AU501" s="21"/>
      <c r="AV501" s="21"/>
    </row>
    <row r="502" spans="1:48" x14ac:dyDescent="0.2">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c r="AE502" s="21"/>
      <c r="AF502" s="21"/>
      <c r="AG502" s="21"/>
      <c r="AH502" s="21"/>
      <c r="AI502" s="21"/>
      <c r="AJ502" s="21"/>
      <c r="AK502" s="21"/>
      <c r="AL502" s="21"/>
      <c r="AM502" s="21"/>
      <c r="AN502" s="21"/>
      <c r="AO502" s="21"/>
      <c r="AP502" s="21"/>
      <c r="AQ502" s="21"/>
      <c r="AR502" s="21"/>
      <c r="AS502" s="21"/>
      <c r="AT502" s="21"/>
      <c r="AU502" s="21"/>
      <c r="AV502" s="21"/>
    </row>
    <row r="503" spans="1:48" x14ac:dyDescent="0.2">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c r="AE503" s="21"/>
      <c r="AF503" s="21"/>
      <c r="AG503" s="21"/>
      <c r="AH503" s="21"/>
      <c r="AI503" s="21"/>
      <c r="AJ503" s="21"/>
      <c r="AK503" s="21"/>
      <c r="AL503" s="21"/>
      <c r="AM503" s="21"/>
      <c r="AN503" s="21"/>
      <c r="AO503" s="21"/>
      <c r="AP503" s="21"/>
      <c r="AQ503" s="21"/>
      <c r="AR503" s="21"/>
      <c r="AS503" s="21"/>
      <c r="AT503" s="21"/>
      <c r="AU503" s="21"/>
      <c r="AV503" s="21"/>
    </row>
    <row r="504" spans="1:48" x14ac:dyDescent="0.2">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c r="AF504" s="21"/>
      <c r="AG504" s="21"/>
      <c r="AH504" s="21"/>
      <c r="AI504" s="21"/>
      <c r="AJ504" s="21"/>
      <c r="AK504" s="21"/>
      <c r="AL504" s="21"/>
      <c r="AM504" s="21"/>
      <c r="AN504" s="21"/>
      <c r="AO504" s="21"/>
      <c r="AP504" s="21"/>
      <c r="AQ504" s="21"/>
      <c r="AR504" s="21"/>
      <c r="AS504" s="21"/>
      <c r="AT504" s="21"/>
      <c r="AU504" s="21"/>
      <c r="AV504" s="21"/>
    </row>
    <row r="505" spans="1:48" x14ac:dyDescent="0.2">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c r="AF505" s="21"/>
      <c r="AG505" s="21"/>
      <c r="AH505" s="21"/>
      <c r="AI505" s="21"/>
      <c r="AJ505" s="21"/>
      <c r="AK505" s="21"/>
      <c r="AL505" s="21"/>
      <c r="AM505" s="21"/>
      <c r="AN505" s="21"/>
      <c r="AO505" s="21"/>
      <c r="AP505" s="21"/>
      <c r="AQ505" s="21"/>
      <c r="AR505" s="21"/>
      <c r="AS505" s="21"/>
      <c r="AT505" s="21"/>
      <c r="AU505" s="21"/>
      <c r="AV505" s="21"/>
    </row>
    <row r="506" spans="1:48" x14ac:dyDescent="0.2">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c r="AF506" s="21"/>
      <c r="AG506" s="21"/>
      <c r="AH506" s="21"/>
      <c r="AI506" s="21"/>
      <c r="AJ506" s="21"/>
      <c r="AK506" s="21"/>
      <c r="AL506" s="21"/>
      <c r="AM506" s="21"/>
      <c r="AN506" s="21"/>
      <c r="AO506" s="21"/>
      <c r="AP506" s="21"/>
      <c r="AQ506" s="21"/>
      <c r="AR506" s="21"/>
      <c r="AS506" s="21"/>
      <c r="AT506" s="21"/>
      <c r="AU506" s="21"/>
      <c r="AV506" s="21"/>
    </row>
    <row r="507" spans="1:48" x14ac:dyDescent="0.2">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c r="AF507" s="21"/>
      <c r="AG507" s="21"/>
      <c r="AH507" s="21"/>
      <c r="AI507" s="21"/>
      <c r="AJ507" s="21"/>
      <c r="AK507" s="21"/>
      <c r="AL507" s="21"/>
      <c r="AM507" s="21"/>
      <c r="AN507" s="21"/>
      <c r="AO507" s="21"/>
      <c r="AP507" s="21"/>
      <c r="AQ507" s="21"/>
      <c r="AR507" s="21"/>
      <c r="AS507" s="21"/>
      <c r="AT507" s="21"/>
      <c r="AU507" s="21"/>
      <c r="AV507" s="21"/>
    </row>
    <row r="508" spans="1:48" x14ac:dyDescent="0.2">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c r="AE508" s="21"/>
      <c r="AF508" s="21"/>
      <c r="AG508" s="21"/>
      <c r="AH508" s="21"/>
      <c r="AI508" s="21"/>
      <c r="AJ508" s="21"/>
      <c r="AK508" s="21"/>
      <c r="AL508" s="21"/>
      <c r="AM508" s="21"/>
      <c r="AN508" s="21"/>
      <c r="AO508" s="21"/>
      <c r="AP508" s="21"/>
      <c r="AQ508" s="21"/>
      <c r="AR508" s="21"/>
      <c r="AS508" s="21"/>
      <c r="AT508" s="21"/>
      <c r="AU508" s="21"/>
      <c r="AV508" s="21"/>
    </row>
    <row r="509" spans="1:48" x14ac:dyDescent="0.2">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c r="AE509" s="21"/>
      <c r="AF509" s="21"/>
      <c r="AG509" s="21"/>
      <c r="AH509" s="21"/>
      <c r="AI509" s="21"/>
      <c r="AJ509" s="21"/>
      <c r="AK509" s="21"/>
      <c r="AL509" s="21"/>
      <c r="AM509" s="21"/>
      <c r="AN509" s="21"/>
      <c r="AO509" s="21"/>
      <c r="AP509" s="21"/>
      <c r="AQ509" s="21"/>
      <c r="AR509" s="21"/>
      <c r="AS509" s="21"/>
      <c r="AT509" s="21"/>
      <c r="AU509" s="21"/>
      <c r="AV509" s="21"/>
    </row>
    <row r="510" spans="1:48" x14ac:dyDescent="0.2">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c r="AE510" s="21"/>
      <c r="AF510" s="21"/>
      <c r="AG510" s="21"/>
      <c r="AH510" s="21"/>
      <c r="AI510" s="21"/>
      <c r="AJ510" s="21"/>
      <c r="AK510" s="21"/>
      <c r="AL510" s="21"/>
      <c r="AM510" s="21"/>
      <c r="AN510" s="21"/>
      <c r="AO510" s="21"/>
      <c r="AP510" s="21"/>
      <c r="AQ510" s="21"/>
      <c r="AR510" s="21"/>
      <c r="AS510" s="21"/>
      <c r="AT510" s="21"/>
      <c r="AU510" s="21"/>
      <c r="AV510" s="21"/>
    </row>
    <row r="511" spans="1:48" x14ac:dyDescent="0.2">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c r="AF511" s="21"/>
      <c r="AG511" s="21"/>
      <c r="AH511" s="21"/>
      <c r="AI511" s="21"/>
      <c r="AJ511" s="21"/>
      <c r="AK511" s="21"/>
      <c r="AL511" s="21"/>
      <c r="AM511" s="21"/>
      <c r="AN511" s="21"/>
      <c r="AO511" s="21"/>
      <c r="AP511" s="21"/>
      <c r="AQ511" s="21"/>
      <c r="AR511" s="21"/>
      <c r="AS511" s="21"/>
      <c r="AT511" s="21"/>
      <c r="AU511" s="21"/>
      <c r="AV511" s="21"/>
    </row>
    <row r="512" spans="1:48" x14ac:dyDescent="0.2">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c r="AF512" s="21"/>
      <c r="AG512" s="21"/>
      <c r="AH512" s="21"/>
      <c r="AI512" s="21"/>
      <c r="AJ512" s="21"/>
      <c r="AK512" s="21"/>
      <c r="AL512" s="21"/>
      <c r="AM512" s="21"/>
      <c r="AN512" s="21"/>
      <c r="AO512" s="21"/>
      <c r="AP512" s="21"/>
      <c r="AQ512" s="21"/>
      <c r="AR512" s="21"/>
      <c r="AS512" s="21"/>
      <c r="AT512" s="21"/>
      <c r="AU512" s="21"/>
      <c r="AV512" s="21"/>
    </row>
    <row r="513" spans="1:48" x14ac:dyDescent="0.2">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c r="AF513" s="21"/>
      <c r="AG513" s="21"/>
      <c r="AH513" s="21"/>
      <c r="AI513" s="21"/>
      <c r="AJ513" s="21"/>
      <c r="AK513" s="21"/>
      <c r="AL513" s="21"/>
      <c r="AM513" s="21"/>
      <c r="AN513" s="21"/>
      <c r="AO513" s="21"/>
      <c r="AP513" s="21"/>
      <c r="AQ513" s="21"/>
      <c r="AR513" s="21"/>
      <c r="AS513" s="21"/>
      <c r="AT513" s="21"/>
      <c r="AU513" s="21"/>
      <c r="AV513" s="21"/>
    </row>
    <row r="514" spans="1:48" x14ac:dyDescent="0.2">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c r="AF514" s="21"/>
      <c r="AG514" s="21"/>
      <c r="AH514" s="21"/>
      <c r="AI514" s="21"/>
      <c r="AJ514" s="21"/>
      <c r="AK514" s="21"/>
      <c r="AL514" s="21"/>
      <c r="AM514" s="21"/>
      <c r="AN514" s="21"/>
      <c r="AO514" s="21"/>
      <c r="AP514" s="21"/>
      <c r="AQ514" s="21"/>
      <c r="AR514" s="21"/>
      <c r="AS514" s="21"/>
      <c r="AT514" s="21"/>
      <c r="AU514" s="21"/>
      <c r="AV514" s="21"/>
    </row>
    <row r="515" spans="1:48" x14ac:dyDescent="0.2">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c r="AE515" s="21"/>
      <c r="AF515" s="21"/>
      <c r="AG515" s="21"/>
      <c r="AH515" s="21"/>
      <c r="AI515" s="21"/>
      <c r="AJ515" s="21"/>
      <c r="AK515" s="21"/>
      <c r="AL515" s="21"/>
      <c r="AM515" s="21"/>
      <c r="AN515" s="21"/>
      <c r="AO515" s="21"/>
      <c r="AP515" s="21"/>
      <c r="AQ515" s="21"/>
      <c r="AR515" s="21"/>
      <c r="AS515" s="21"/>
      <c r="AT515" s="21"/>
      <c r="AU515" s="21"/>
      <c r="AV515" s="21"/>
    </row>
    <row r="516" spans="1:48" x14ac:dyDescent="0.2">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c r="AE516" s="21"/>
      <c r="AF516" s="21"/>
      <c r="AG516" s="21"/>
      <c r="AH516" s="21"/>
      <c r="AI516" s="21"/>
      <c r="AJ516" s="21"/>
      <c r="AK516" s="21"/>
      <c r="AL516" s="21"/>
      <c r="AM516" s="21"/>
      <c r="AN516" s="21"/>
      <c r="AO516" s="21"/>
      <c r="AP516" s="21"/>
      <c r="AQ516" s="21"/>
      <c r="AR516" s="21"/>
      <c r="AS516" s="21"/>
      <c r="AT516" s="21"/>
      <c r="AU516" s="21"/>
      <c r="AV516" s="21"/>
    </row>
    <row r="517" spans="1:48" x14ac:dyDescent="0.2">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c r="AE517" s="21"/>
      <c r="AF517" s="21"/>
      <c r="AG517" s="21"/>
      <c r="AH517" s="21"/>
      <c r="AI517" s="21"/>
      <c r="AJ517" s="21"/>
      <c r="AK517" s="21"/>
      <c r="AL517" s="21"/>
      <c r="AM517" s="21"/>
      <c r="AN517" s="21"/>
      <c r="AO517" s="21"/>
      <c r="AP517" s="21"/>
      <c r="AQ517" s="21"/>
      <c r="AR517" s="21"/>
      <c r="AS517" s="21"/>
      <c r="AT517" s="21"/>
      <c r="AU517" s="21"/>
      <c r="AV517" s="21"/>
    </row>
    <row r="518" spans="1:48" x14ac:dyDescent="0.2">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c r="AF518" s="21"/>
      <c r="AG518" s="21"/>
      <c r="AH518" s="21"/>
      <c r="AI518" s="21"/>
      <c r="AJ518" s="21"/>
      <c r="AK518" s="21"/>
      <c r="AL518" s="21"/>
      <c r="AM518" s="21"/>
      <c r="AN518" s="21"/>
      <c r="AO518" s="21"/>
      <c r="AP518" s="21"/>
      <c r="AQ518" s="21"/>
      <c r="AR518" s="21"/>
      <c r="AS518" s="21"/>
      <c r="AT518" s="21"/>
      <c r="AU518" s="21"/>
      <c r="AV518" s="21"/>
    </row>
    <row r="519" spans="1:48" x14ac:dyDescent="0.2">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c r="AF519" s="21"/>
      <c r="AG519" s="21"/>
      <c r="AH519" s="21"/>
      <c r="AI519" s="21"/>
      <c r="AJ519" s="21"/>
      <c r="AK519" s="21"/>
      <c r="AL519" s="21"/>
      <c r="AM519" s="21"/>
      <c r="AN519" s="21"/>
      <c r="AO519" s="21"/>
      <c r="AP519" s="21"/>
      <c r="AQ519" s="21"/>
      <c r="AR519" s="21"/>
      <c r="AS519" s="21"/>
      <c r="AT519" s="21"/>
      <c r="AU519" s="21"/>
      <c r="AV519" s="21"/>
    </row>
    <row r="520" spans="1:48" x14ac:dyDescent="0.2">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c r="AF520" s="21"/>
      <c r="AG520" s="21"/>
      <c r="AH520" s="21"/>
      <c r="AI520" s="21"/>
      <c r="AJ520" s="21"/>
      <c r="AK520" s="21"/>
      <c r="AL520" s="21"/>
      <c r="AM520" s="21"/>
      <c r="AN520" s="21"/>
      <c r="AO520" s="21"/>
      <c r="AP520" s="21"/>
      <c r="AQ520" s="21"/>
      <c r="AR520" s="21"/>
      <c r="AS520" s="21"/>
      <c r="AT520" s="21"/>
      <c r="AU520" s="21"/>
      <c r="AV520" s="21"/>
    </row>
    <row r="521" spans="1:48" x14ac:dyDescent="0.2">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c r="AF521" s="21"/>
      <c r="AG521" s="21"/>
      <c r="AH521" s="21"/>
      <c r="AI521" s="21"/>
      <c r="AJ521" s="21"/>
      <c r="AK521" s="21"/>
      <c r="AL521" s="21"/>
      <c r="AM521" s="21"/>
      <c r="AN521" s="21"/>
      <c r="AO521" s="21"/>
      <c r="AP521" s="21"/>
      <c r="AQ521" s="21"/>
      <c r="AR521" s="21"/>
      <c r="AS521" s="21"/>
      <c r="AT521" s="21"/>
      <c r="AU521" s="21"/>
      <c r="AV521" s="21"/>
    </row>
    <row r="522" spans="1:48" x14ac:dyDescent="0.2">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row>
    <row r="523" spans="1:48" x14ac:dyDescent="0.2">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c r="AE523" s="21"/>
      <c r="AF523" s="21"/>
      <c r="AG523" s="21"/>
      <c r="AH523" s="21"/>
      <c r="AI523" s="21"/>
      <c r="AJ523" s="21"/>
      <c r="AK523" s="21"/>
      <c r="AL523" s="21"/>
      <c r="AM523" s="21"/>
      <c r="AN523" s="21"/>
      <c r="AO523" s="21"/>
      <c r="AP523" s="21"/>
      <c r="AQ523" s="21"/>
      <c r="AR523" s="21"/>
      <c r="AS523" s="21"/>
      <c r="AT523" s="21"/>
      <c r="AU523" s="21"/>
      <c r="AV523" s="21"/>
    </row>
    <row r="524" spans="1:48" x14ac:dyDescent="0.2">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c r="AE524" s="21"/>
      <c r="AF524" s="21"/>
      <c r="AG524" s="21"/>
      <c r="AH524" s="21"/>
      <c r="AI524" s="21"/>
      <c r="AJ524" s="21"/>
      <c r="AK524" s="21"/>
      <c r="AL524" s="21"/>
      <c r="AM524" s="21"/>
      <c r="AN524" s="21"/>
      <c r="AO524" s="21"/>
      <c r="AP524" s="21"/>
      <c r="AQ524" s="21"/>
      <c r="AR524" s="21"/>
      <c r="AS524" s="21"/>
      <c r="AT524" s="21"/>
      <c r="AU524" s="21"/>
      <c r="AV524" s="21"/>
    </row>
    <row r="525" spans="1:48" x14ac:dyDescent="0.2">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c r="AF525" s="21"/>
      <c r="AG525" s="21"/>
      <c r="AH525" s="21"/>
      <c r="AI525" s="21"/>
      <c r="AJ525" s="21"/>
      <c r="AK525" s="21"/>
      <c r="AL525" s="21"/>
      <c r="AM525" s="21"/>
      <c r="AN525" s="21"/>
      <c r="AO525" s="21"/>
      <c r="AP525" s="21"/>
      <c r="AQ525" s="21"/>
      <c r="AR525" s="21"/>
      <c r="AS525" s="21"/>
      <c r="AT525" s="21"/>
      <c r="AU525" s="21"/>
      <c r="AV525" s="21"/>
    </row>
    <row r="526" spans="1:48" x14ac:dyDescent="0.2">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c r="AF526" s="21"/>
      <c r="AG526" s="21"/>
      <c r="AH526" s="21"/>
      <c r="AI526" s="21"/>
      <c r="AJ526" s="21"/>
      <c r="AK526" s="21"/>
      <c r="AL526" s="21"/>
      <c r="AM526" s="21"/>
      <c r="AN526" s="21"/>
      <c r="AO526" s="21"/>
      <c r="AP526" s="21"/>
      <c r="AQ526" s="21"/>
      <c r="AR526" s="21"/>
      <c r="AS526" s="21"/>
      <c r="AT526" s="21"/>
      <c r="AU526" s="21"/>
      <c r="AV526" s="21"/>
    </row>
    <row r="527" spans="1:48" x14ac:dyDescent="0.2">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c r="AF527" s="21"/>
      <c r="AG527" s="21"/>
      <c r="AH527" s="21"/>
      <c r="AI527" s="21"/>
      <c r="AJ527" s="21"/>
      <c r="AK527" s="21"/>
      <c r="AL527" s="21"/>
      <c r="AM527" s="21"/>
      <c r="AN527" s="21"/>
      <c r="AO527" s="21"/>
      <c r="AP527" s="21"/>
      <c r="AQ527" s="21"/>
      <c r="AR527" s="21"/>
      <c r="AS527" s="21"/>
      <c r="AT527" s="21"/>
      <c r="AU527" s="21"/>
      <c r="AV527" s="21"/>
    </row>
    <row r="528" spans="1:48" x14ac:dyDescent="0.2">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c r="AF528" s="21"/>
      <c r="AG528" s="21"/>
      <c r="AH528" s="21"/>
      <c r="AI528" s="21"/>
      <c r="AJ528" s="21"/>
      <c r="AK528" s="21"/>
      <c r="AL528" s="21"/>
      <c r="AM528" s="21"/>
      <c r="AN528" s="21"/>
      <c r="AO528" s="21"/>
      <c r="AP528" s="21"/>
      <c r="AQ528" s="21"/>
      <c r="AR528" s="21"/>
      <c r="AS528" s="21"/>
      <c r="AT528" s="21"/>
      <c r="AU528" s="21"/>
      <c r="AV528" s="21"/>
    </row>
    <row r="529" spans="1:48" x14ac:dyDescent="0.2">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c r="AE529" s="21"/>
      <c r="AF529" s="21"/>
      <c r="AG529" s="21"/>
      <c r="AH529" s="21"/>
      <c r="AI529" s="21"/>
      <c r="AJ529" s="21"/>
      <c r="AK529" s="21"/>
      <c r="AL529" s="21"/>
      <c r="AM529" s="21"/>
      <c r="AN529" s="21"/>
      <c r="AO529" s="21"/>
      <c r="AP529" s="21"/>
      <c r="AQ529" s="21"/>
      <c r="AR529" s="21"/>
      <c r="AS529" s="21"/>
      <c r="AT529" s="21"/>
      <c r="AU529" s="21"/>
      <c r="AV529" s="21"/>
    </row>
    <row r="530" spans="1:48" x14ac:dyDescent="0.2">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c r="AE530" s="21"/>
      <c r="AF530" s="21"/>
      <c r="AG530" s="21"/>
      <c r="AH530" s="21"/>
      <c r="AI530" s="21"/>
      <c r="AJ530" s="21"/>
      <c r="AK530" s="21"/>
      <c r="AL530" s="21"/>
      <c r="AM530" s="21"/>
      <c r="AN530" s="21"/>
      <c r="AO530" s="21"/>
      <c r="AP530" s="21"/>
      <c r="AQ530" s="21"/>
      <c r="AR530" s="21"/>
      <c r="AS530" s="21"/>
      <c r="AT530" s="21"/>
      <c r="AU530" s="21"/>
      <c r="AV530" s="21"/>
    </row>
    <row r="531" spans="1:48" x14ac:dyDescent="0.2">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c r="AE531" s="21"/>
      <c r="AF531" s="21"/>
      <c r="AG531" s="21"/>
      <c r="AH531" s="21"/>
      <c r="AI531" s="21"/>
      <c r="AJ531" s="21"/>
      <c r="AK531" s="21"/>
      <c r="AL531" s="21"/>
      <c r="AM531" s="21"/>
      <c r="AN531" s="21"/>
      <c r="AO531" s="21"/>
      <c r="AP531" s="21"/>
      <c r="AQ531" s="21"/>
      <c r="AR531" s="21"/>
      <c r="AS531" s="21"/>
      <c r="AT531" s="21"/>
      <c r="AU531" s="21"/>
      <c r="AV531" s="21"/>
    </row>
    <row r="532" spans="1:48" x14ac:dyDescent="0.2">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c r="AE532" s="21"/>
      <c r="AF532" s="21"/>
      <c r="AG532" s="21"/>
      <c r="AH532" s="21"/>
      <c r="AI532" s="21"/>
      <c r="AJ532" s="21"/>
      <c r="AK532" s="21"/>
      <c r="AL532" s="21"/>
      <c r="AM532" s="21"/>
      <c r="AN532" s="21"/>
      <c r="AO532" s="21"/>
      <c r="AP532" s="21"/>
      <c r="AQ532" s="21"/>
      <c r="AR532" s="21"/>
      <c r="AS532" s="21"/>
      <c r="AT532" s="21"/>
      <c r="AU532" s="21"/>
      <c r="AV532" s="21"/>
    </row>
    <row r="533" spans="1:48" x14ac:dyDescent="0.2">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c r="AE533" s="21"/>
      <c r="AF533" s="21"/>
      <c r="AG533" s="21"/>
      <c r="AH533" s="21"/>
      <c r="AI533" s="21"/>
      <c r="AJ533" s="21"/>
      <c r="AK533" s="21"/>
      <c r="AL533" s="21"/>
      <c r="AM533" s="21"/>
      <c r="AN533" s="21"/>
      <c r="AO533" s="21"/>
      <c r="AP533" s="21"/>
      <c r="AQ533" s="21"/>
      <c r="AR533" s="21"/>
      <c r="AS533" s="21"/>
      <c r="AT533" s="21"/>
      <c r="AU533" s="21"/>
      <c r="AV533" s="21"/>
    </row>
    <row r="534" spans="1:48" x14ac:dyDescent="0.2">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c r="AE534" s="21"/>
      <c r="AF534" s="21"/>
      <c r="AG534" s="21"/>
      <c r="AH534" s="21"/>
      <c r="AI534" s="21"/>
      <c r="AJ534" s="21"/>
      <c r="AK534" s="21"/>
      <c r="AL534" s="21"/>
      <c r="AM534" s="21"/>
      <c r="AN534" s="21"/>
      <c r="AO534" s="21"/>
      <c r="AP534" s="21"/>
      <c r="AQ534" s="21"/>
      <c r="AR534" s="21"/>
      <c r="AS534" s="21"/>
      <c r="AT534" s="21"/>
      <c r="AU534" s="21"/>
      <c r="AV534" s="21"/>
    </row>
    <row r="535" spans="1:48" x14ac:dyDescent="0.2">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c r="AE535" s="21"/>
      <c r="AF535" s="21"/>
      <c r="AG535" s="21"/>
      <c r="AH535" s="21"/>
      <c r="AI535" s="21"/>
      <c r="AJ535" s="21"/>
      <c r="AK535" s="21"/>
      <c r="AL535" s="21"/>
      <c r="AM535" s="21"/>
      <c r="AN535" s="21"/>
      <c r="AO535" s="21"/>
      <c r="AP535" s="21"/>
      <c r="AQ535" s="21"/>
      <c r="AR535" s="21"/>
      <c r="AS535" s="21"/>
      <c r="AT535" s="21"/>
      <c r="AU535" s="21"/>
      <c r="AV535" s="21"/>
    </row>
    <row r="536" spans="1:48" x14ac:dyDescent="0.2">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c r="AF536" s="21"/>
      <c r="AG536" s="21"/>
      <c r="AH536" s="21"/>
      <c r="AI536" s="21"/>
      <c r="AJ536" s="21"/>
      <c r="AK536" s="21"/>
      <c r="AL536" s="21"/>
      <c r="AM536" s="21"/>
      <c r="AN536" s="21"/>
      <c r="AO536" s="21"/>
      <c r="AP536" s="21"/>
      <c r="AQ536" s="21"/>
      <c r="AR536" s="21"/>
      <c r="AS536" s="21"/>
      <c r="AT536" s="21"/>
      <c r="AU536" s="21"/>
      <c r="AV536" s="21"/>
    </row>
    <row r="537" spans="1:48" x14ac:dyDescent="0.2">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c r="AE537" s="21"/>
      <c r="AF537" s="21"/>
      <c r="AG537" s="21"/>
      <c r="AH537" s="21"/>
      <c r="AI537" s="21"/>
      <c r="AJ537" s="21"/>
      <c r="AK537" s="21"/>
      <c r="AL537" s="21"/>
      <c r="AM537" s="21"/>
      <c r="AN537" s="21"/>
      <c r="AO537" s="21"/>
      <c r="AP537" s="21"/>
      <c r="AQ537" s="21"/>
      <c r="AR537" s="21"/>
      <c r="AS537" s="21"/>
      <c r="AT537" s="21"/>
      <c r="AU537" s="21"/>
      <c r="AV537" s="21"/>
    </row>
    <row r="538" spans="1:48" x14ac:dyDescent="0.2">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c r="AF538" s="21"/>
      <c r="AG538" s="21"/>
      <c r="AH538" s="21"/>
      <c r="AI538" s="21"/>
      <c r="AJ538" s="21"/>
      <c r="AK538" s="21"/>
      <c r="AL538" s="21"/>
      <c r="AM538" s="21"/>
      <c r="AN538" s="21"/>
      <c r="AO538" s="21"/>
      <c r="AP538" s="21"/>
      <c r="AQ538" s="21"/>
      <c r="AR538" s="21"/>
      <c r="AS538" s="21"/>
      <c r="AT538" s="21"/>
      <c r="AU538" s="21"/>
      <c r="AV538" s="21"/>
    </row>
    <row r="539" spans="1:48" x14ac:dyDescent="0.2">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c r="AF539" s="21"/>
      <c r="AG539" s="21"/>
      <c r="AH539" s="21"/>
      <c r="AI539" s="21"/>
      <c r="AJ539" s="21"/>
      <c r="AK539" s="21"/>
      <c r="AL539" s="21"/>
      <c r="AM539" s="21"/>
      <c r="AN539" s="21"/>
      <c r="AO539" s="21"/>
      <c r="AP539" s="21"/>
      <c r="AQ539" s="21"/>
      <c r="AR539" s="21"/>
      <c r="AS539" s="21"/>
      <c r="AT539" s="21"/>
      <c r="AU539" s="21"/>
      <c r="AV539" s="21"/>
    </row>
    <row r="540" spans="1:48" x14ac:dyDescent="0.2">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c r="AE540" s="21"/>
      <c r="AF540" s="21"/>
      <c r="AG540" s="21"/>
      <c r="AH540" s="21"/>
      <c r="AI540" s="21"/>
      <c r="AJ540" s="21"/>
      <c r="AK540" s="21"/>
      <c r="AL540" s="21"/>
      <c r="AM540" s="21"/>
      <c r="AN540" s="21"/>
      <c r="AO540" s="21"/>
      <c r="AP540" s="21"/>
      <c r="AQ540" s="21"/>
      <c r="AR540" s="21"/>
      <c r="AS540" s="21"/>
      <c r="AT540" s="21"/>
      <c r="AU540" s="21"/>
      <c r="AV540" s="21"/>
    </row>
    <row r="541" spans="1:48" x14ac:dyDescent="0.2">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c r="AE541" s="21"/>
      <c r="AF541" s="21"/>
      <c r="AG541" s="21"/>
      <c r="AH541" s="21"/>
      <c r="AI541" s="21"/>
      <c r="AJ541" s="21"/>
      <c r="AK541" s="21"/>
      <c r="AL541" s="21"/>
      <c r="AM541" s="21"/>
      <c r="AN541" s="21"/>
      <c r="AO541" s="21"/>
      <c r="AP541" s="21"/>
      <c r="AQ541" s="21"/>
      <c r="AR541" s="21"/>
      <c r="AS541" s="21"/>
      <c r="AT541" s="21"/>
      <c r="AU541" s="21"/>
      <c r="AV541" s="21"/>
    </row>
    <row r="542" spans="1:48" x14ac:dyDescent="0.2">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c r="AF542" s="21"/>
      <c r="AG542" s="21"/>
      <c r="AH542" s="21"/>
      <c r="AI542" s="21"/>
      <c r="AJ542" s="21"/>
      <c r="AK542" s="21"/>
      <c r="AL542" s="21"/>
      <c r="AM542" s="21"/>
      <c r="AN542" s="21"/>
      <c r="AO542" s="21"/>
      <c r="AP542" s="21"/>
      <c r="AQ542" s="21"/>
      <c r="AR542" s="21"/>
      <c r="AS542" s="21"/>
      <c r="AT542" s="21"/>
      <c r="AU542" s="21"/>
      <c r="AV542" s="21"/>
    </row>
  </sheetData>
  <sheetProtection sheet="1" objects="1" scenarios="1"/>
  <mergeCells count="78">
    <mergeCell ref="D50:E50"/>
    <mergeCell ref="D56:F57"/>
    <mergeCell ref="G56:L57"/>
    <mergeCell ref="A55:N55"/>
    <mergeCell ref="F52:G52"/>
    <mergeCell ref="I52:L52"/>
    <mergeCell ref="I51:L51"/>
    <mergeCell ref="M50:N50"/>
    <mergeCell ref="M51:N51"/>
    <mergeCell ref="A52:C52"/>
    <mergeCell ref="A57:C57"/>
    <mergeCell ref="A56:C56"/>
    <mergeCell ref="M52:N52"/>
    <mergeCell ref="D52:E52"/>
    <mergeCell ref="F50:G50"/>
    <mergeCell ref="F51:G51"/>
    <mergeCell ref="M70:N70"/>
    <mergeCell ref="I50:L50"/>
    <mergeCell ref="I17:K17"/>
    <mergeCell ref="I43:K43"/>
    <mergeCell ref="I44:K44"/>
    <mergeCell ref="I18:K18"/>
    <mergeCell ref="I19:K19"/>
    <mergeCell ref="I20:K20"/>
    <mergeCell ref="I21:K21"/>
    <mergeCell ref="I22:K22"/>
    <mergeCell ref="I23:K23"/>
    <mergeCell ref="M58:N62"/>
    <mergeCell ref="I46:K46"/>
    <mergeCell ref="I45:K45"/>
    <mergeCell ref="M56:N57"/>
    <mergeCell ref="G54:N54"/>
    <mergeCell ref="I15:K15"/>
    <mergeCell ref="I16:K16"/>
    <mergeCell ref="I31:K31"/>
    <mergeCell ref="I42:K42"/>
    <mergeCell ref="D41:G41"/>
    <mergeCell ref="I41:N41"/>
    <mergeCell ref="I24:K24"/>
    <mergeCell ref="I25:K25"/>
    <mergeCell ref="A6:N6"/>
    <mergeCell ref="C13:C14"/>
    <mergeCell ref="A13:A14"/>
    <mergeCell ref="D7:F7"/>
    <mergeCell ref="D8:F8"/>
    <mergeCell ref="G9:H9"/>
    <mergeCell ref="A12:N12"/>
    <mergeCell ref="B13:B14"/>
    <mergeCell ref="I14:K14"/>
    <mergeCell ref="M9:N9"/>
    <mergeCell ref="I13:K13"/>
    <mergeCell ref="H10:I10"/>
    <mergeCell ref="H11:I11"/>
    <mergeCell ref="I9:J9"/>
    <mergeCell ref="C9:D9"/>
    <mergeCell ref="D49:E49"/>
    <mergeCell ref="I49:L49"/>
    <mergeCell ref="D47:E47"/>
    <mergeCell ref="I47:L47"/>
    <mergeCell ref="I48:K48"/>
    <mergeCell ref="A32:B32"/>
    <mergeCell ref="A41:C42"/>
    <mergeCell ref="I26:K26"/>
    <mergeCell ref="I27:K27"/>
    <mergeCell ref="I28:K28"/>
    <mergeCell ref="I29:K29"/>
    <mergeCell ref="I30:K30"/>
    <mergeCell ref="A40:N40"/>
    <mergeCell ref="D51:E51"/>
    <mergeCell ref="A58:C62"/>
    <mergeCell ref="D58:F62"/>
    <mergeCell ref="G58:L62"/>
    <mergeCell ref="A65:C69"/>
    <mergeCell ref="D65:F69"/>
    <mergeCell ref="G63:N64"/>
    <mergeCell ref="G65:N69"/>
    <mergeCell ref="A63:C64"/>
    <mergeCell ref="D63:F64"/>
  </mergeCells>
  <phoneticPr fontId="3" type="noConversion"/>
  <printOptions horizontalCentered="1"/>
  <pageMargins left="0.11811023622047244" right="0.11811023622047244" top="0.55118110236220474" bottom="0.19685039370078741" header="0.31496062992125984" footer="0.19685039370078741"/>
  <pageSetup paperSize="9" scale="81"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49"/>
  <sheetViews>
    <sheetView topLeftCell="A10" workbookViewId="0">
      <selection activeCell="A27" sqref="A27:D27"/>
    </sheetView>
  </sheetViews>
  <sheetFormatPr defaultColWidth="11.42578125" defaultRowHeight="12.75" x14ac:dyDescent="0.2"/>
  <cols>
    <col min="1" max="1" width="20.85546875" style="27" customWidth="1"/>
    <col min="2" max="2" width="13.140625" style="27" customWidth="1"/>
    <col min="3" max="3" width="11.42578125" style="27"/>
    <col min="4" max="4" width="19" style="27" customWidth="1"/>
    <col min="5" max="5" width="11.42578125" style="27"/>
    <col min="6" max="6" width="7.5703125" style="27" customWidth="1"/>
    <col min="7" max="7" width="13" style="27" customWidth="1"/>
    <col min="8" max="16384" width="11.42578125" style="27"/>
  </cols>
  <sheetData>
    <row r="1" spans="1:7" ht="15" x14ac:dyDescent="0.2">
      <c r="A1" s="243"/>
      <c r="B1" s="243"/>
      <c r="C1" s="243"/>
      <c r="D1" s="243"/>
      <c r="E1" s="243"/>
      <c r="F1" s="243"/>
      <c r="G1" s="243"/>
    </row>
    <row r="2" spans="1:7" ht="18" x14ac:dyDescent="0.25">
      <c r="A2" s="578" t="s">
        <v>119</v>
      </c>
      <c r="B2" s="579"/>
      <c r="C2" s="579"/>
      <c r="D2" s="579"/>
      <c r="E2" s="579"/>
      <c r="F2" s="579"/>
      <c r="G2" s="579"/>
    </row>
    <row r="3" spans="1:7" ht="15.75" x14ac:dyDescent="0.25">
      <c r="A3" s="244"/>
      <c r="B3" s="244"/>
      <c r="C3" s="244"/>
      <c r="D3" s="244"/>
      <c r="E3" s="244"/>
      <c r="F3" s="244"/>
      <c r="G3" s="244"/>
    </row>
    <row r="4" spans="1:7" ht="18" x14ac:dyDescent="0.25">
      <c r="A4" s="578" t="s">
        <v>120</v>
      </c>
      <c r="B4" s="579"/>
      <c r="C4" s="579"/>
      <c r="D4" s="579"/>
      <c r="E4" s="579"/>
      <c r="F4" s="579"/>
      <c r="G4" s="579"/>
    </row>
    <row r="5" spans="1:7" ht="15" x14ac:dyDescent="0.2">
      <c r="A5" s="243"/>
      <c r="B5" s="243"/>
      <c r="C5" s="243"/>
      <c r="D5" s="243"/>
      <c r="E5" s="243"/>
      <c r="F5" s="243"/>
      <c r="G5" s="243"/>
    </row>
    <row r="6" spans="1:7" ht="15" x14ac:dyDescent="0.2">
      <c r="A6" s="243"/>
      <c r="B6" s="243"/>
      <c r="C6" s="243"/>
      <c r="D6" s="243"/>
      <c r="E6" s="243"/>
      <c r="F6" s="243"/>
      <c r="G6" s="243"/>
    </row>
    <row r="7" spans="1:7" ht="15" x14ac:dyDescent="0.2">
      <c r="A7" s="243"/>
      <c r="B7" s="243"/>
      <c r="C7" s="243"/>
      <c r="D7" s="243"/>
      <c r="E7" s="243"/>
      <c r="F7" s="243"/>
      <c r="G7" s="243"/>
    </row>
    <row r="8" spans="1:7" ht="15" x14ac:dyDescent="0.2">
      <c r="A8" s="245" t="s">
        <v>145</v>
      </c>
      <c r="B8" s="580" t="str">
        <f>'MASQUE DE SAISIE'!B7:G7</f>
        <v>MALEK MOUHAMMED RIDHA</v>
      </c>
      <c r="C8" s="580"/>
      <c r="D8" s="580"/>
      <c r="E8" s="580"/>
      <c r="F8" s="580"/>
      <c r="G8" s="580"/>
    </row>
    <row r="9" spans="1:7" ht="15" x14ac:dyDescent="0.2">
      <c r="A9" s="243"/>
      <c r="B9" s="243"/>
      <c r="C9" s="243"/>
      <c r="D9" s="243"/>
      <c r="E9" s="243"/>
      <c r="F9" s="243"/>
      <c r="G9" s="243"/>
    </row>
    <row r="10" spans="1:7" ht="15" x14ac:dyDescent="0.2">
      <c r="A10" s="245" t="s">
        <v>121</v>
      </c>
      <c r="B10" s="581" t="str">
        <f>'MASQUE DE SAISIE'!N8</f>
        <v>63018511</v>
      </c>
      <c r="C10" s="580"/>
      <c r="D10" s="580"/>
      <c r="E10" s="580"/>
      <c r="F10" s="580"/>
      <c r="G10" s="580"/>
    </row>
    <row r="11" spans="1:7" ht="15" x14ac:dyDescent="0.2">
      <c r="A11" s="243"/>
      <c r="B11" s="246"/>
      <c r="C11" s="247"/>
      <c r="D11" s="247"/>
      <c r="E11" s="247"/>
      <c r="F11" s="247"/>
      <c r="G11" s="247"/>
    </row>
    <row r="12" spans="1:7" ht="15" x14ac:dyDescent="0.2">
      <c r="A12" s="245" t="s">
        <v>146</v>
      </c>
      <c r="B12" s="580" t="str">
        <f>'MASQUE DE SAISIE'!B8:G8</f>
        <v xml:space="preserve">THECNICIEN MECANICIEN PPL N2 </v>
      </c>
      <c r="C12" s="580"/>
      <c r="D12" s="580"/>
      <c r="E12" s="580"/>
      <c r="F12" s="580"/>
      <c r="G12" s="580"/>
    </row>
    <row r="13" spans="1:7" ht="15" x14ac:dyDescent="0.2">
      <c r="A13" s="243"/>
      <c r="B13" s="243"/>
      <c r="C13" s="243"/>
      <c r="D13" s="243"/>
      <c r="E13" s="243"/>
      <c r="F13" s="243"/>
      <c r="G13" s="243"/>
    </row>
    <row r="14" spans="1:7" ht="15" x14ac:dyDescent="0.2">
      <c r="A14" s="245" t="s">
        <v>124</v>
      </c>
      <c r="B14" s="582" t="s">
        <v>159</v>
      </c>
      <c r="C14" s="582"/>
      <c r="D14" s="582"/>
      <c r="E14" s="582"/>
      <c r="F14" s="582"/>
      <c r="G14" s="582"/>
    </row>
    <row r="15" spans="1:7" ht="15" x14ac:dyDescent="0.2">
      <c r="A15" s="243"/>
      <c r="B15" s="247"/>
      <c r="C15" s="247"/>
      <c r="D15" s="247"/>
      <c r="E15" s="247"/>
      <c r="F15" s="247"/>
      <c r="G15" s="247"/>
    </row>
    <row r="16" spans="1:7" ht="15" x14ac:dyDescent="0.2">
      <c r="A16" s="245" t="s">
        <v>147</v>
      </c>
      <c r="B16" s="580" t="str">
        <f>'MASQUE DE SAISIE'!B9:E9</f>
        <v>SP2 DJAMAA</v>
      </c>
      <c r="C16" s="580"/>
      <c r="D16" s="580"/>
      <c r="E16" s="580"/>
      <c r="F16" s="580"/>
      <c r="G16" s="580"/>
    </row>
    <row r="17" spans="1:7" ht="15" x14ac:dyDescent="0.2">
      <c r="A17" s="243"/>
      <c r="B17" s="243"/>
      <c r="C17" s="243"/>
      <c r="D17" s="243"/>
      <c r="E17" s="243"/>
      <c r="F17" s="243"/>
      <c r="G17" s="243"/>
    </row>
    <row r="18" spans="1:7" ht="15" x14ac:dyDescent="0.2">
      <c r="A18" s="583" t="s">
        <v>148</v>
      </c>
      <c r="B18" s="583"/>
      <c r="C18" s="257" t="str">
        <f>'MASQUE DE SAISIE'!K9</f>
        <v>191/SP2</v>
      </c>
      <c r="D18" s="243"/>
      <c r="E18" s="243"/>
      <c r="F18" s="243"/>
      <c r="G18" s="243"/>
    </row>
    <row r="19" spans="1:7" ht="15" x14ac:dyDescent="0.2">
      <c r="A19" s="247"/>
      <c r="B19" s="247"/>
      <c r="C19" s="248"/>
      <c r="D19" s="243"/>
      <c r="E19" s="243"/>
      <c r="F19" s="243"/>
      <c r="G19" s="243"/>
    </row>
    <row r="20" spans="1:7" ht="15.75" x14ac:dyDescent="0.25">
      <c r="A20" s="584" t="s">
        <v>127</v>
      </c>
      <c r="B20" s="584"/>
      <c r="C20" s="584"/>
      <c r="D20" s="584"/>
      <c r="E20" s="584"/>
      <c r="F20" s="584"/>
      <c r="G20" s="584"/>
    </row>
    <row r="21" spans="1:7" ht="15" x14ac:dyDescent="0.2">
      <c r="A21" s="249"/>
      <c r="B21" s="249"/>
      <c r="C21" s="249"/>
      <c r="D21" s="249"/>
      <c r="E21" s="249"/>
      <c r="F21" s="249"/>
      <c r="G21" s="249"/>
    </row>
    <row r="22" spans="1:7" ht="15" x14ac:dyDescent="0.2">
      <c r="A22" s="250" t="s">
        <v>50</v>
      </c>
      <c r="B22" s="585" t="s">
        <v>128</v>
      </c>
      <c r="C22" s="585"/>
      <c r="D22" s="585"/>
      <c r="E22" s="586" t="s">
        <v>122</v>
      </c>
      <c r="F22" s="586"/>
      <c r="G22" s="250" t="s">
        <v>129</v>
      </c>
    </row>
    <row r="23" spans="1:7" ht="15" x14ac:dyDescent="0.2">
      <c r="A23" s="258" t="str">
        <f>'MASQUE DE SAISIE'!A74</f>
        <v>19/04/2025</v>
      </c>
      <c r="B23" s="574" t="str">
        <f>'MASQUE DE SAISIE'!B74</f>
        <v>CHELGHOUM LAID-BOUMERDES</v>
      </c>
      <c r="C23" s="575"/>
      <c r="D23" s="575"/>
      <c r="E23" s="576">
        <f>'MASQUE DE SAISIE'!E74</f>
        <v>310</v>
      </c>
      <c r="F23" s="577"/>
      <c r="G23" s="259">
        <f>'MASQUE DE SAISIE'!H74</f>
        <v>2170</v>
      </c>
    </row>
    <row r="24" spans="1:7" ht="15" x14ac:dyDescent="0.2">
      <c r="A24" s="258" t="str">
        <f>'MASQUE DE SAISIE'!A75</f>
        <v>21/04/2025</v>
      </c>
      <c r="B24" s="574" t="str">
        <f>'MASQUE DE SAISIE'!B75</f>
        <v>BOUMERDES-CHELGHOUM LAID</v>
      </c>
      <c r="C24" s="575"/>
      <c r="D24" s="575"/>
      <c r="E24" s="576">
        <f>'MASQUE DE SAISIE'!E75</f>
        <v>310</v>
      </c>
      <c r="F24" s="577"/>
      <c r="G24" s="259">
        <f>'MASQUE DE SAISIE'!H75</f>
        <v>2170</v>
      </c>
    </row>
    <row r="25" spans="1:7" ht="15" x14ac:dyDescent="0.2">
      <c r="A25" s="258">
        <f>'MASQUE DE SAISIE'!A76</f>
        <v>0</v>
      </c>
      <c r="B25" s="574">
        <f>'MASQUE DE SAISIE'!B76</f>
        <v>0</v>
      </c>
      <c r="C25" s="575"/>
      <c r="D25" s="575"/>
      <c r="E25" s="576">
        <f>'MASQUE DE SAISIE'!E76</f>
        <v>0</v>
      </c>
      <c r="F25" s="577"/>
      <c r="G25" s="259">
        <f>'MASQUE DE SAISIE'!H76</f>
        <v>0</v>
      </c>
    </row>
    <row r="26" spans="1:7" ht="15.75" thickBot="1" x14ac:dyDescent="0.25">
      <c r="A26" s="258">
        <f>'MASQUE DE SAISIE'!A77</f>
        <v>0</v>
      </c>
      <c r="B26" s="574">
        <f>'MASQUE DE SAISIE'!B77</f>
        <v>0</v>
      </c>
      <c r="C26" s="575"/>
      <c r="D26" s="575"/>
      <c r="E26" s="576">
        <f>'MASQUE DE SAISIE'!E77</f>
        <v>0</v>
      </c>
      <c r="F26" s="577"/>
      <c r="G26" s="260">
        <f>'MASQUE DE SAISIE'!H77</f>
        <v>0</v>
      </c>
    </row>
    <row r="27" spans="1:7" ht="15.75" thickBot="1" x14ac:dyDescent="0.25">
      <c r="A27" s="568" t="s">
        <v>43</v>
      </c>
      <c r="B27" s="569"/>
      <c r="C27" s="569"/>
      <c r="D27" s="570"/>
      <c r="E27" s="571">
        <f>SUM(E23:E26)</f>
        <v>620</v>
      </c>
      <c r="F27" s="572"/>
      <c r="G27" s="261">
        <f>SUM(G23:G26)</f>
        <v>4340</v>
      </c>
    </row>
    <row r="28" spans="1:7" ht="15" x14ac:dyDescent="0.2">
      <c r="A28" s="249"/>
      <c r="B28" s="249"/>
      <c r="C28" s="249"/>
      <c r="D28" s="249"/>
      <c r="E28" s="249"/>
      <c r="F28" s="249"/>
      <c r="G28" s="249"/>
    </row>
    <row r="29" spans="1:7" ht="15" x14ac:dyDescent="0.2">
      <c r="A29" s="573" t="s">
        <v>144</v>
      </c>
      <c r="B29" s="573"/>
      <c r="C29" s="573"/>
      <c r="D29" s="262" t="str">
        <f>+'MASQUE DE SAISIE'!J7</f>
        <v>CHELGHOUM LAID-BOUMERDES-CHELGHOUM LAID</v>
      </c>
      <c r="E29" s="243"/>
      <c r="F29" s="243"/>
      <c r="G29" s="243"/>
    </row>
    <row r="30" spans="1:7" ht="15" x14ac:dyDescent="0.2">
      <c r="A30" s="243"/>
      <c r="B30" s="243"/>
      <c r="C30" s="243"/>
      <c r="D30" s="243"/>
      <c r="E30" s="243"/>
      <c r="F30" s="243"/>
      <c r="G30" s="243"/>
    </row>
    <row r="31" spans="1:7" ht="15" x14ac:dyDescent="0.2">
      <c r="A31" s="243"/>
      <c r="B31" s="243"/>
      <c r="C31" s="243"/>
      <c r="D31" s="243"/>
      <c r="E31" s="243"/>
      <c r="F31" s="243"/>
      <c r="G31" s="243"/>
    </row>
    <row r="32" spans="1:7" ht="15" x14ac:dyDescent="0.2">
      <c r="A32" s="245" t="s">
        <v>123</v>
      </c>
      <c r="B32" s="263">
        <f>'MASQUE DE SAISIE'!F10</f>
        <v>45787</v>
      </c>
      <c r="C32" s="251" t="s">
        <v>86</v>
      </c>
      <c r="D32" s="264" t="str">
        <f>'MASQUE DE SAISIE'!H10</f>
        <v>08</v>
      </c>
      <c r="E32" s="243" t="s">
        <v>48</v>
      </c>
      <c r="F32" s="262" t="str">
        <f>'MASQUE DE SAISIE'!J10</f>
        <v>00</v>
      </c>
      <c r="G32" s="243" t="s">
        <v>49</v>
      </c>
    </row>
    <row r="33" spans="1:7" ht="15" x14ac:dyDescent="0.2">
      <c r="A33" s="243"/>
      <c r="B33" s="243"/>
      <c r="C33" s="243"/>
      <c r="D33" s="243"/>
      <c r="E33" s="243"/>
      <c r="F33" s="243"/>
      <c r="G33" s="243"/>
    </row>
    <row r="34" spans="1:7" ht="15" x14ac:dyDescent="0.2">
      <c r="A34" s="245" t="s">
        <v>143</v>
      </c>
      <c r="B34" s="263">
        <f>'MASQUE DE SAISIE'!F13</f>
        <v>45793</v>
      </c>
      <c r="C34" s="251" t="s">
        <v>86</v>
      </c>
      <c r="D34" s="264" t="str">
        <f>'MASQUE DE SAISIE'!H13</f>
        <v>17</v>
      </c>
      <c r="E34" s="243" t="s">
        <v>48</v>
      </c>
      <c r="F34" s="262" t="str">
        <f>'MASQUE DE SAISIE'!J13</f>
        <v>00</v>
      </c>
      <c r="G34" s="243" t="s">
        <v>49</v>
      </c>
    </row>
    <row r="35" spans="1:7" ht="15" x14ac:dyDescent="0.2">
      <c r="A35" s="243"/>
      <c r="B35" s="243"/>
      <c r="C35" s="243"/>
      <c r="D35" s="243"/>
      <c r="E35" s="243"/>
      <c r="F35" s="243"/>
      <c r="G35" s="243"/>
    </row>
    <row r="36" spans="1:7" ht="15" x14ac:dyDescent="0.2">
      <c r="A36" s="243"/>
      <c r="B36" s="243"/>
      <c r="C36" s="243"/>
      <c r="D36" s="243"/>
      <c r="E36" s="243"/>
      <c r="F36" s="243"/>
      <c r="G36" s="243"/>
    </row>
    <row r="37" spans="1:7" ht="15.75" x14ac:dyDescent="0.25">
      <c r="A37" s="244" t="s">
        <v>149</v>
      </c>
      <c r="B37" s="243"/>
      <c r="C37" s="243"/>
      <c r="D37" s="243"/>
      <c r="E37" s="243"/>
      <c r="F37" s="243"/>
      <c r="G37" s="243"/>
    </row>
    <row r="38" spans="1:7" ht="15" x14ac:dyDescent="0.2">
      <c r="A38" s="243"/>
      <c r="B38" s="243"/>
      <c r="C38" s="243"/>
      <c r="D38" s="243"/>
      <c r="E38" s="243"/>
      <c r="F38" s="243"/>
      <c r="G38" s="243"/>
    </row>
    <row r="39" spans="1:7" ht="15.75" x14ac:dyDescent="0.25">
      <c r="A39" s="243"/>
      <c r="B39" s="243"/>
      <c r="C39" s="243"/>
      <c r="D39" s="573" t="s">
        <v>154</v>
      </c>
      <c r="E39" s="573"/>
      <c r="F39" s="567">
        <f ca="1">TODAY()</f>
        <v>45809</v>
      </c>
      <c r="G39" s="567"/>
    </row>
    <row r="40" spans="1:7" ht="15" x14ac:dyDescent="0.2">
      <c r="A40" s="243"/>
      <c r="B40" s="243"/>
      <c r="C40" s="243"/>
      <c r="D40" s="243"/>
      <c r="E40" s="243"/>
      <c r="F40" s="243"/>
      <c r="G40" s="243"/>
    </row>
    <row r="41" spans="1:7" ht="15" x14ac:dyDescent="0.2">
      <c r="A41" s="243"/>
      <c r="B41" s="243"/>
      <c r="C41" s="243"/>
      <c r="D41" s="243"/>
      <c r="E41" s="243"/>
      <c r="F41" s="243"/>
      <c r="G41" s="243"/>
    </row>
    <row r="42" spans="1:7" ht="18" x14ac:dyDescent="0.25">
      <c r="A42" s="252" t="s">
        <v>142</v>
      </c>
      <c r="B42" s="253"/>
      <c r="C42" s="253"/>
      <c r="D42" s="253"/>
      <c r="E42" s="253"/>
      <c r="F42" s="253"/>
      <c r="G42" s="253"/>
    </row>
    <row r="43" spans="1:7" ht="15.75" x14ac:dyDescent="0.25">
      <c r="A43" s="254"/>
      <c r="B43" s="254"/>
      <c r="C43" s="366"/>
      <c r="D43" s="366"/>
      <c r="E43" s="255"/>
      <c r="F43" s="255"/>
      <c r="G43" s="255"/>
    </row>
    <row r="44" spans="1:7" ht="15.75" x14ac:dyDescent="0.25">
      <c r="A44" s="254"/>
      <c r="B44" s="254"/>
      <c r="C44" s="366"/>
      <c r="D44" s="366"/>
      <c r="E44" s="365"/>
      <c r="F44" s="365"/>
      <c r="G44" s="365"/>
    </row>
    <row r="45" spans="1:7" ht="15.75" x14ac:dyDescent="0.25">
      <c r="A45" s="254"/>
      <c r="B45" s="254"/>
      <c r="C45" s="366"/>
      <c r="D45" s="366"/>
      <c r="E45" s="365"/>
      <c r="F45" s="365"/>
      <c r="G45" s="365"/>
    </row>
    <row r="46" spans="1:7" ht="15.75" x14ac:dyDescent="0.25">
      <c r="A46" s="254"/>
      <c r="B46" s="254"/>
      <c r="C46" s="256"/>
      <c r="D46" s="256"/>
      <c r="E46" s="365"/>
      <c r="F46" s="365"/>
      <c r="G46" s="365"/>
    </row>
    <row r="47" spans="1:7" ht="15" x14ac:dyDescent="0.2">
      <c r="A47" s="243"/>
      <c r="B47" s="243"/>
      <c r="C47" s="243"/>
      <c r="D47" s="243"/>
      <c r="E47" s="243"/>
      <c r="F47" s="243"/>
      <c r="G47" s="243"/>
    </row>
    <row r="48" spans="1:7" ht="15" x14ac:dyDescent="0.2">
      <c r="A48" s="243"/>
      <c r="B48" s="243"/>
      <c r="C48" s="243"/>
      <c r="D48" s="243"/>
      <c r="E48" s="243"/>
      <c r="F48" s="243"/>
      <c r="G48" s="243"/>
    </row>
    <row r="49" spans="1:7" ht="15" x14ac:dyDescent="0.2">
      <c r="A49" s="243"/>
      <c r="B49" s="243"/>
      <c r="C49" s="243"/>
      <c r="D49" s="243"/>
      <c r="E49" s="243"/>
      <c r="F49" s="243"/>
      <c r="G49" s="243"/>
    </row>
  </sheetData>
  <sheetProtection sheet="1" objects="1" scenarios="1"/>
  <mergeCells count="30">
    <mergeCell ref="B23:D23"/>
    <mergeCell ref="E23:F23"/>
    <mergeCell ref="A2:G2"/>
    <mergeCell ref="A4:G4"/>
    <mergeCell ref="B8:G8"/>
    <mergeCell ref="B10:G10"/>
    <mergeCell ref="B12:G12"/>
    <mergeCell ref="B14:G14"/>
    <mergeCell ref="B16:G16"/>
    <mergeCell ref="A18:B18"/>
    <mergeCell ref="A20:G20"/>
    <mergeCell ref="B22:D22"/>
    <mergeCell ref="E22:F22"/>
    <mergeCell ref="B24:D24"/>
    <mergeCell ref="E24:F24"/>
    <mergeCell ref="B25:D25"/>
    <mergeCell ref="E25:F25"/>
    <mergeCell ref="B26:D26"/>
    <mergeCell ref="E26:F26"/>
    <mergeCell ref="C45:D45"/>
    <mergeCell ref="E45:G45"/>
    <mergeCell ref="E46:G46"/>
    <mergeCell ref="F39:G39"/>
    <mergeCell ref="A27:D27"/>
    <mergeCell ref="E27:F27"/>
    <mergeCell ref="A29:C29"/>
    <mergeCell ref="D39:E39"/>
    <mergeCell ref="C43:D43"/>
    <mergeCell ref="C44:D44"/>
    <mergeCell ref="E44:G44"/>
  </mergeCells>
  <pageMargins left="0.39370078740157483" right="0.1574803149606299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7"/>
  <sheetViews>
    <sheetView topLeftCell="A16" workbookViewId="0">
      <selection activeCell="A20" sqref="A20:G20"/>
    </sheetView>
  </sheetViews>
  <sheetFormatPr defaultColWidth="11.42578125" defaultRowHeight="12.75" x14ac:dyDescent="0.2"/>
  <cols>
    <col min="1" max="1" width="12.28515625" style="27" customWidth="1"/>
    <col min="2" max="2" width="11.42578125" style="27"/>
    <col min="3" max="3" width="13.5703125" style="27" customWidth="1"/>
    <col min="4" max="4" width="16.28515625" style="27" customWidth="1"/>
    <col min="5" max="5" width="7.7109375" style="27" customWidth="1"/>
    <col min="6" max="6" width="11.42578125" style="27" customWidth="1"/>
    <col min="7" max="7" width="32.28515625" style="27" customWidth="1"/>
    <col min="8" max="16384" width="11.42578125" style="27"/>
  </cols>
  <sheetData>
    <row r="1" spans="1:7" x14ac:dyDescent="0.2">
      <c r="C1" s="35"/>
      <c r="D1" s="35"/>
      <c r="E1" s="35"/>
      <c r="F1" s="35"/>
      <c r="G1" s="35"/>
    </row>
    <row r="2" spans="1:7" ht="15.75" x14ac:dyDescent="0.25">
      <c r="A2" s="35"/>
      <c r="B2" s="428"/>
      <c r="C2" s="428"/>
      <c r="D2" s="428"/>
      <c r="E2" s="428"/>
      <c r="F2" s="428"/>
      <c r="G2" s="120"/>
    </row>
    <row r="3" spans="1:7" x14ac:dyDescent="0.2">
      <c r="A3" s="35"/>
      <c r="B3" s="428"/>
      <c r="C3" s="428"/>
      <c r="D3" s="428"/>
      <c r="E3" s="428"/>
      <c r="F3" s="428"/>
      <c r="G3" s="428"/>
    </row>
    <row r="4" spans="1:7" ht="30" customHeight="1" x14ac:dyDescent="0.2">
      <c r="A4" s="35"/>
      <c r="B4" s="35"/>
      <c r="C4" s="35"/>
      <c r="D4" s="35"/>
      <c r="E4" s="35"/>
      <c r="F4" s="265"/>
      <c r="G4" s="265"/>
    </row>
    <row r="5" spans="1:7" ht="24" customHeight="1" x14ac:dyDescent="0.2">
      <c r="A5" s="35"/>
      <c r="B5" s="35"/>
      <c r="C5" s="35"/>
      <c r="D5" s="35"/>
      <c r="E5" s="35"/>
      <c r="F5" s="265"/>
      <c r="G5" s="265"/>
    </row>
    <row r="6" spans="1:7" ht="15.75" x14ac:dyDescent="0.25">
      <c r="A6" s="365" t="s">
        <v>75</v>
      </c>
      <c r="B6" s="365"/>
      <c r="C6" s="365"/>
      <c r="D6" s="365"/>
      <c r="E6" s="365"/>
      <c r="F6" s="120"/>
      <c r="G6" s="265"/>
    </row>
    <row r="7" spans="1:7" ht="15.75" x14ac:dyDescent="0.25">
      <c r="A7" s="365" t="s">
        <v>158</v>
      </c>
      <c r="B7" s="365"/>
      <c r="C7" s="365"/>
      <c r="D7" s="365"/>
      <c r="E7" s="365"/>
      <c r="F7" s="365"/>
      <c r="G7" s="265"/>
    </row>
    <row r="8" spans="1:7" ht="16.5" thickBot="1" x14ac:dyDescent="0.25">
      <c r="A8" s="117"/>
      <c r="B8" s="117"/>
      <c r="C8" s="117"/>
      <c r="D8" s="117"/>
      <c r="E8" s="117"/>
      <c r="F8" s="117"/>
      <c r="G8" s="265"/>
    </row>
    <row r="9" spans="1:7" ht="12.75" customHeight="1" x14ac:dyDescent="0.2">
      <c r="A9" s="593" t="s">
        <v>161</v>
      </c>
      <c r="B9" s="594"/>
      <c r="C9" s="594"/>
      <c r="D9" s="594"/>
      <c r="E9" s="594"/>
      <c r="F9" s="594"/>
      <c r="G9" s="595"/>
    </row>
    <row r="10" spans="1:7" ht="13.5" customHeight="1" x14ac:dyDescent="0.2">
      <c r="A10" s="596"/>
      <c r="B10" s="597"/>
      <c r="C10" s="597"/>
      <c r="D10" s="597"/>
      <c r="E10" s="597"/>
      <c r="F10" s="597"/>
      <c r="G10" s="598"/>
    </row>
    <row r="11" spans="1:7" x14ac:dyDescent="0.2">
      <c r="A11" s="266"/>
      <c r="B11" s="267"/>
      <c r="C11" s="267"/>
      <c r="D11" s="267"/>
      <c r="E11" s="267"/>
      <c r="F11" s="267"/>
      <c r="G11" s="268"/>
    </row>
    <row r="12" spans="1:7" ht="16.5" thickBot="1" x14ac:dyDescent="0.25">
      <c r="A12" s="269" t="s">
        <v>173</v>
      </c>
      <c r="B12" s="285" t="str">
        <f>'MASQUE DE SAISIE'!K9</f>
        <v>191/SP2</v>
      </c>
      <c r="C12" s="270"/>
      <c r="D12" s="270"/>
      <c r="E12" s="271" t="s">
        <v>174</v>
      </c>
      <c r="F12" s="286" t="str">
        <f>'MASQUE DE SAISIE'!M9</f>
        <v>du 07/05/25</v>
      </c>
      <c r="G12" s="272"/>
    </row>
    <row r="13" spans="1:7" s="21" customFormat="1" x14ac:dyDescent="0.2">
      <c r="A13" s="273"/>
      <c r="B13" s="274"/>
      <c r="C13" s="274"/>
      <c r="D13" s="274"/>
      <c r="E13" s="274"/>
      <c r="F13" s="34"/>
      <c r="G13" s="34"/>
    </row>
    <row r="14" spans="1:7" s="21" customFormat="1" ht="20.25" customHeight="1" x14ac:dyDescent="0.25">
      <c r="A14" s="275" t="s">
        <v>162</v>
      </c>
      <c r="B14" s="619" t="str">
        <f>'MASQUE DE SAISIE'!N8</f>
        <v>63018511</v>
      </c>
      <c r="C14" s="619"/>
      <c r="D14" s="620" t="s">
        <v>163</v>
      </c>
      <c r="E14" s="620"/>
      <c r="F14" s="287" t="str">
        <f>'MASQUE DE SAISIE'!B7</f>
        <v>MALEK MOUHAMMED RIDHA</v>
      </c>
      <c r="G14" s="276"/>
    </row>
    <row r="15" spans="1:7" s="21" customFormat="1" ht="22.5" customHeight="1" x14ac:dyDescent="0.2">
      <c r="A15" s="277" t="s">
        <v>164</v>
      </c>
      <c r="B15" s="619" t="str">
        <f>'MASQUE DE SAISIE'!B8</f>
        <v xml:space="preserve">THECNICIEN MECANICIEN PPL N2 </v>
      </c>
      <c r="C15" s="619"/>
      <c r="D15" s="619"/>
      <c r="E15" s="619"/>
      <c r="F15" s="277" t="s">
        <v>147</v>
      </c>
      <c r="G15" s="40" t="str">
        <f>'MASQUE DE SAISIE'!B9</f>
        <v>SP2 DJAMAA</v>
      </c>
    </row>
    <row r="16" spans="1:7" s="21" customFormat="1" ht="30.75" customHeight="1" x14ac:dyDescent="0.2">
      <c r="A16" s="278" t="s">
        <v>165</v>
      </c>
      <c r="B16" s="278"/>
      <c r="C16" s="278"/>
      <c r="D16" s="288">
        <f>'MASQUE DE SAISIE'!F10</f>
        <v>45787</v>
      </c>
      <c r="E16" s="39" t="str">
        <f>'MASQUE DE SAISIE'!H10</f>
        <v>08</v>
      </c>
      <c r="F16" s="113" t="s">
        <v>48</v>
      </c>
      <c r="G16" s="289" t="str">
        <f>+'MASQUE DE SAISIE'!J10</f>
        <v>00</v>
      </c>
    </row>
    <row r="17" spans="1:7" s="21" customFormat="1" ht="35.25" customHeight="1" thickBot="1" x14ac:dyDescent="0.25">
      <c r="A17" s="278" t="s">
        <v>166</v>
      </c>
      <c r="B17" s="278"/>
      <c r="C17" s="278"/>
      <c r="D17" s="288">
        <f>'MASQUE DE SAISIE'!F13</f>
        <v>45793</v>
      </c>
      <c r="E17" s="39" t="str">
        <f>'MASQUE DE SAISIE'!H13</f>
        <v>17</v>
      </c>
      <c r="F17" s="113" t="s">
        <v>48</v>
      </c>
      <c r="G17" s="289" t="str">
        <f>+'MASQUE DE SAISIE'!J13</f>
        <v>00</v>
      </c>
    </row>
    <row r="18" spans="1:7" s="21" customFormat="1" x14ac:dyDescent="0.2">
      <c r="A18" s="280"/>
      <c r="B18" s="281"/>
      <c r="C18" s="281"/>
      <c r="D18" s="282"/>
      <c r="E18" s="282"/>
      <c r="F18" s="282"/>
      <c r="G18" s="283"/>
    </row>
    <row r="19" spans="1:7" ht="15.75" thickBot="1" x14ac:dyDescent="0.25">
      <c r="A19" s="610" t="s">
        <v>167</v>
      </c>
      <c r="B19" s="611"/>
      <c r="C19" s="611"/>
      <c r="D19" s="611"/>
      <c r="E19" s="611"/>
      <c r="F19" s="611"/>
      <c r="G19" s="612"/>
    </row>
    <row r="20" spans="1:7" ht="91.5" customHeight="1" x14ac:dyDescent="0.2">
      <c r="A20" s="590" t="s">
        <v>195</v>
      </c>
      <c r="B20" s="591"/>
      <c r="C20" s="591"/>
      <c r="D20" s="591"/>
      <c r="E20" s="591"/>
      <c r="F20" s="591"/>
      <c r="G20" s="592"/>
    </row>
    <row r="21" spans="1:7" ht="15.75" thickBot="1" x14ac:dyDescent="0.25">
      <c r="A21" s="610" t="s">
        <v>168</v>
      </c>
      <c r="B21" s="611"/>
      <c r="C21" s="611"/>
      <c r="D21" s="611"/>
      <c r="E21" s="611"/>
      <c r="F21" s="611"/>
      <c r="G21" s="612"/>
    </row>
    <row r="22" spans="1:7" ht="147" customHeight="1" x14ac:dyDescent="0.2">
      <c r="A22" s="613" t="s">
        <v>178</v>
      </c>
      <c r="B22" s="614"/>
      <c r="C22" s="614"/>
      <c r="D22" s="614"/>
      <c r="E22" s="614"/>
      <c r="F22" s="614"/>
      <c r="G22" s="615"/>
    </row>
    <row r="23" spans="1:7" ht="218.25" customHeight="1" thickBot="1" x14ac:dyDescent="0.25">
      <c r="A23" s="616" t="s">
        <v>169</v>
      </c>
      <c r="B23" s="617"/>
      <c r="C23" s="617"/>
      <c r="D23" s="617"/>
      <c r="E23" s="617"/>
      <c r="F23" s="617"/>
      <c r="G23" s="618"/>
    </row>
    <row r="24" spans="1:7" ht="24.75" customHeight="1" thickBot="1" x14ac:dyDescent="0.25">
      <c r="A24" s="599" t="s">
        <v>170</v>
      </c>
      <c r="B24" s="600"/>
      <c r="C24" s="600"/>
      <c r="D24" s="601"/>
      <c r="E24" s="602" t="s">
        <v>135</v>
      </c>
      <c r="F24" s="603"/>
      <c r="G24" s="604"/>
    </row>
    <row r="25" spans="1:7" ht="87" customHeight="1" thickBot="1" x14ac:dyDescent="0.25">
      <c r="A25" s="605"/>
      <c r="B25" s="606"/>
      <c r="C25" s="606"/>
      <c r="D25" s="606"/>
      <c r="E25" s="607" t="s">
        <v>171</v>
      </c>
      <c r="F25" s="608"/>
      <c r="G25" s="609"/>
    </row>
    <row r="26" spans="1:7" ht="16.5" customHeight="1" thickBot="1" x14ac:dyDescent="0.25">
      <c r="A26" s="587"/>
      <c r="B26" s="588"/>
      <c r="C26" s="588"/>
      <c r="D26" s="588"/>
      <c r="E26" s="588"/>
      <c r="F26" s="588"/>
      <c r="G26" s="589"/>
    </row>
    <row r="27" spans="1:7" x14ac:dyDescent="0.2">
      <c r="A27" s="284" t="s">
        <v>172</v>
      </c>
      <c r="B27" s="35"/>
      <c r="C27" s="35"/>
      <c r="D27" s="35"/>
      <c r="E27" s="35"/>
      <c r="F27" s="35"/>
      <c r="G27" s="35"/>
    </row>
  </sheetData>
  <sheetProtection sheet="1" objects="1" scenarios="1"/>
  <mergeCells count="18">
    <mergeCell ref="B2:F2"/>
    <mergeCell ref="B3:G3"/>
    <mergeCell ref="A6:E6"/>
    <mergeCell ref="A7:F7"/>
    <mergeCell ref="A26:G26"/>
    <mergeCell ref="A20:G20"/>
    <mergeCell ref="A9:G10"/>
    <mergeCell ref="A24:D24"/>
    <mergeCell ref="E24:G24"/>
    <mergeCell ref="A25:D25"/>
    <mergeCell ref="E25:G25"/>
    <mergeCell ref="A19:G19"/>
    <mergeCell ref="A21:G21"/>
    <mergeCell ref="A22:G22"/>
    <mergeCell ref="A23:G23"/>
    <mergeCell ref="B14:C14"/>
    <mergeCell ref="D14:E14"/>
    <mergeCell ref="B15:E15"/>
  </mergeCells>
  <phoneticPr fontId="3" type="noConversion"/>
  <pageMargins left="0.70866141732283472" right="0.39370078740157483" top="0.39370078740157483" bottom="0.39370078740157483" header="0.31496062992125984" footer="0.31496062992125984"/>
  <pageSetup paperSize="9" scale="80" fitToWidth="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MASQUE DE SAISIE</vt:lpstr>
      <vt:lpstr>COMPTE RENDU A TIRER</vt:lpstr>
      <vt:lpstr>NOTE DE FRAIS A TIRER</vt:lpstr>
      <vt:lpstr>DECLARATION SUR L'HONEUR </vt:lpstr>
      <vt:lpstr>RAPPORT DE MISSION </vt:lpstr>
      <vt:lpstr>'COMPTE RENDU A TIRER'!Print_Area</vt:lpstr>
      <vt:lpstr>'MASQUE DE SAISIE'!Print_Area</vt:lpstr>
      <vt:lpstr>'NOTE DE FRAIS A TIRER'!Print_Area</vt:lpstr>
    </vt:vector>
  </TitlesOfParts>
  <Company>alger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station13</dc:creator>
  <cp:lastModifiedBy>Administrator</cp:lastModifiedBy>
  <cp:lastPrinted>2025-06-01T10:08:42Z</cp:lastPrinted>
  <dcterms:created xsi:type="dcterms:W3CDTF">2000-06-05T09:25:38Z</dcterms:created>
  <dcterms:modified xsi:type="dcterms:W3CDTF">2025-06-01T10:09:23Z</dcterms:modified>
</cp:coreProperties>
</file>